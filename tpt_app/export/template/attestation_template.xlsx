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RICE ML35 VIERGE" sheetId="1" state="visible" r:id="rId3"/>
    <sheet name="MATRICE ML36 VIERGE" sheetId="2" state="visible" r:id="rId4"/>
    <sheet name="MATRICE ML37 VIERGE" sheetId="3" state="visible" r:id="rId5"/>
    <sheet name="Attestation Vivinter" sheetId="4" state="visible" r:id="rId6"/>
    <sheet name="MODOP Attestation VIV" sheetId="5" state="visible" r:id="rId7"/>
  </sheets>
  <definedNames>
    <definedName function="false" hidden="false" localSheetId="3" name="_xlnm.Print_Area" vbProcedure="false">'Attestation Vivinter'!$A$1:$I$55</definedName>
    <definedName function="false" hidden="false" localSheetId="1" name="_xlnm.Print_Area" vbProcedure="false">'MATRICE ML36 VIERGE'!$A$1:$K$82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B14" authorId="0">
      <text>
        <r>
          <rPr>
            <sz val="10"/>
            <rFont val="Arial"/>
            <family val="2"/>
          </rPr>
          <t xml:space="preserve">Martin, Lydie (DP CN CP) - AF:
Ne pas remplir - Se calcule automatiquement
Correspond à l'indemnité JOURNALIER qui se trouve sur paie 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F74" authorId="0">
      <text>
        <r>
          <rPr>
            <sz val="10"/>
            <rFont val="Arial"/>
            <family val="2"/>
          </rPr>
          <t xml:space="preserve">Martin, Lydie (DP CN CP) - AF (ext):
Si SIACI enlevé le montant du perçu car c'est eux qui l'ont versé</t>
        </r>
      </text>
    </comment>
    <comment ref="I18" authorId="0">
      <text>
        <r>
          <rPr>
            <sz val="10"/>
            <rFont val="Arial"/>
            <family val="2"/>
          </rPr>
          <t xml:space="preserve">Martin, Lydie (DP CN CP) - AF:
24,5% du montant SIACI a été automatiquement pris en compte dans le calcul.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F75" authorId="0">
      <text>
        <r>
          <rPr>
            <sz val="10"/>
            <rFont val="Arial"/>
            <family val="2"/>
          </rPr>
          <t xml:space="preserve">Martin, Lydie (DP CN CP) - AF (ext):
Si SIACI enlevé le montant du perçu car c'est eux qui l'ont versé</t>
        </r>
      </text>
    </comment>
    <comment ref="J20" authorId="0">
      <text>
        <r>
          <rPr>
            <sz val="10"/>
            <rFont val="Arial"/>
            <family val="2"/>
          </rPr>
          <t xml:space="preserve">Martin, Lydie (DP CN CP) - AF (ext):
24,5% du montant SIACI a été automatiquement pris en compte dans le calcul.</t>
        </r>
      </text>
    </comment>
  </commentList>
</comments>
</file>

<file path=xl/sharedStrings.xml><?xml version="1.0" encoding="utf-8"?>
<sst xmlns="http://schemas.openxmlformats.org/spreadsheetml/2006/main" count="360" uniqueCount="153">
  <si>
    <t xml:space="preserve">NB JOURS MOIS </t>
  </si>
  <si>
    <t xml:space="preserve">Motifs </t>
  </si>
  <si>
    <t xml:space="preserve">SIRET</t>
  </si>
  <si>
    <t xml:space="preserve">FIXE 100%</t>
  </si>
  <si>
    <t xml:space="preserve">Périodes </t>
  </si>
  <si>
    <t xml:space="preserve">NB JRS</t>
  </si>
  <si>
    <t xml:space="preserve">MOTIFS</t>
  </si>
  <si>
    <t xml:space="preserve">ML35</t>
  </si>
  <si>
    <t xml:space="preserve">N°SS</t>
  </si>
  <si>
    <t xml:space="preserve">P.TRANS</t>
  </si>
  <si>
    <t xml:space="preserve">DU</t>
  </si>
  <si>
    <t xml:space="preserve">au</t>
  </si>
  <si>
    <t xml:space="preserve">CA </t>
  </si>
  <si>
    <t xml:space="preserve">MATRICULE</t>
  </si>
  <si>
    <t xml:space="preserve">au </t>
  </si>
  <si>
    <t xml:space="preserve">NOM</t>
  </si>
  <si>
    <t xml:space="preserve">MAJO</t>
  </si>
  <si>
    <t xml:space="preserve">PRENOM</t>
  </si>
  <si>
    <t xml:space="preserve">PANIERS</t>
  </si>
  <si>
    <t xml:space="preserve">DATE AT </t>
  </si>
  <si>
    <t xml:space="preserve">TOTAL</t>
  </si>
  <si>
    <t xml:space="preserve">DJT</t>
  </si>
  <si>
    <t xml:space="preserve">PERTE</t>
  </si>
  <si>
    <t xml:space="preserve">soit </t>
  </si>
  <si>
    <t xml:space="preserve">PERTE A DECLARER</t>
  </si>
  <si>
    <t xml:space="preserve">IJ/ JOURS</t>
  </si>
  <si>
    <t xml:space="preserve">NB JOURS</t>
  </si>
  <si>
    <t xml:space="preserve">IJ TOTAL TPT</t>
  </si>
  <si>
    <t xml:space="preserve">IGR</t>
  </si>
  <si>
    <t xml:space="preserve">TOTAL </t>
  </si>
  <si>
    <t xml:space="preserve">Perçu CPAM</t>
  </si>
  <si>
    <t xml:space="preserve">FIXE</t>
  </si>
  <si>
    <t xml:space="preserve">MAJO + PAN</t>
  </si>
  <si>
    <t xml:space="preserve">IJ RETIRER</t>
  </si>
  <si>
    <t xml:space="preserve">A DECLARER</t>
  </si>
  <si>
    <t xml:space="preserve">SIRET </t>
  </si>
  <si>
    <t xml:space="preserve">MOIS</t>
  </si>
  <si>
    <t xml:space="preserve">MOTIF </t>
  </si>
  <si>
    <t xml:space="preserve">MOTIF</t>
  </si>
  <si>
    <t xml:space="preserve">N°SS </t>
  </si>
  <si>
    <t xml:space="preserve">Nb jours dans le mois </t>
  </si>
  <si>
    <t xml:space="preserve">ML36</t>
  </si>
  <si>
    <t xml:space="preserve">Maladie</t>
  </si>
  <si>
    <t xml:space="preserve">MATRICULE </t>
  </si>
  <si>
    <t xml:space="preserve">CA / JEM</t>
  </si>
  <si>
    <t xml:space="preserve">NOM </t>
  </si>
  <si>
    <t xml:space="preserve">SALAIRE RETABLI 3201</t>
  </si>
  <si>
    <t xml:space="preserve">REPARTITION SELON ACTIVITE</t>
  </si>
  <si>
    <t xml:space="preserve">Autres absences</t>
  </si>
  <si>
    <t xml:space="preserve">PERIODES</t>
  </si>
  <si>
    <t xml:space="preserve">MAJO </t>
  </si>
  <si>
    <t xml:space="preserve">PANIERS </t>
  </si>
  <si>
    <t xml:space="preserve">SIACI</t>
  </si>
  <si>
    <t xml:space="preserve">ABSENCE SANS SOLDE </t>
  </si>
  <si>
    <t xml:space="preserve">Abs sans solde</t>
  </si>
  <si>
    <t xml:space="preserve">1er PERIODE</t>
  </si>
  <si>
    <t xml:space="preserve">2e PERIODE</t>
  </si>
  <si>
    <t xml:space="preserve">Taux initial  </t>
  </si>
  <si>
    <t xml:space="preserve">à taux TPT</t>
  </si>
  <si>
    <t xml:space="preserve">3e PERIODE</t>
  </si>
  <si>
    <t xml:space="preserve">4e PERIODE</t>
  </si>
  <si>
    <t xml:space="preserve">TMF à 100%</t>
  </si>
  <si>
    <t xml:space="preserve">MAJ NUIT</t>
  </si>
  <si>
    <t xml:space="preserve">5e PERIODE</t>
  </si>
  <si>
    <t xml:space="preserve">P.TRANSFERT à 100%</t>
  </si>
  <si>
    <t xml:space="preserve">maj ferie</t>
  </si>
  <si>
    <t xml:space="preserve">6e PERIODE</t>
  </si>
  <si>
    <t xml:space="preserve">7e PERIODE</t>
  </si>
  <si>
    <t xml:space="preserve">8e PERIODE</t>
  </si>
  <si>
    <t xml:space="preserve">9e PERIODE</t>
  </si>
  <si>
    <t xml:space="preserve">10e PERIODE</t>
  </si>
  <si>
    <t xml:space="preserve">PANIERS + R226</t>
  </si>
  <si>
    <t xml:space="preserve">MONTANT SIACI =</t>
  </si>
  <si>
    <t xml:space="preserve">Montant qui a été réintégré</t>
  </si>
  <si>
    <t xml:space="preserve">Date début</t>
  </si>
  <si>
    <t xml:space="preserve">Date de fin</t>
  </si>
  <si>
    <t xml:space="preserve">Nb de jrs</t>
  </si>
  <si>
    <t xml:space="preserve">30ème</t>
  </si>
  <si>
    <t xml:space="preserve">Dont PUA/PFA</t>
  </si>
  <si>
    <t xml:space="preserve">RETABLI</t>
  </si>
  <si>
    <t xml:space="preserve">PUA =</t>
  </si>
  <si>
    <t xml:space="preserve">Perçu</t>
  </si>
  <si>
    <t xml:space="preserve">PUA PERCUE = </t>
  </si>
  <si>
    <t xml:space="preserve">PERTE = </t>
  </si>
  <si>
    <t xml:space="preserve">AUTRES PRIMES =</t>
  </si>
  <si>
    <t xml:space="preserve">PERTE CPAM </t>
  </si>
  <si>
    <t xml:space="preserve">VIVINTER ON DECLARE LE PERCU</t>
  </si>
  <si>
    <t xml:space="preserve">Autres primes</t>
  </si>
  <si>
    <t xml:space="preserve">AU</t>
  </si>
  <si>
    <t xml:space="preserve">DU </t>
  </si>
  <si>
    <t xml:space="preserve">ML37</t>
  </si>
  <si>
    <t xml:space="preserve">MALADIE</t>
  </si>
  <si>
    <t xml:space="preserve">CA</t>
  </si>
  <si>
    <t xml:space="preserve">JEM</t>
  </si>
  <si>
    <t xml:space="preserve">1E PERIODE</t>
  </si>
  <si>
    <t xml:space="preserve">2E PERIODE</t>
  </si>
  <si>
    <t xml:space="preserve">3E PERIODE </t>
  </si>
  <si>
    <t xml:space="preserve">4E PERIODE</t>
  </si>
  <si>
    <t xml:space="preserve">5E PERIODE</t>
  </si>
  <si>
    <t xml:space="preserve">REMU CA </t>
  </si>
  <si>
    <t xml:space="preserve">PANIERS+R226</t>
  </si>
  <si>
    <t xml:space="preserve">PERCU CPAM</t>
  </si>
  <si>
    <t xml:space="preserve">PERTE CPAM</t>
  </si>
  <si>
    <t xml:space="preserve">SOIT </t>
  </si>
  <si>
    <t xml:space="preserve">ATTESTATION DE TEMPS PARTIEL</t>
  </si>
  <si>
    <t xml:space="preserve">RISQUES :</t>
  </si>
  <si>
    <t xml:space="preserve">INCAPACITE</t>
  </si>
  <si>
    <t xml:space="preserve">INVALIDITE</t>
  </si>
  <si>
    <t xml:space="preserve">Nous soussignés Société AIR FRANCE , attestons le salaire perçu pour le(s) mois cité(s) en référence ci-dessous en activité partielle.</t>
  </si>
  <si>
    <t xml:space="preserve">IDENTIFICATION DU SALARIE</t>
  </si>
  <si>
    <t xml:space="preserve">N° SECURITE SOCIALE</t>
  </si>
  <si>
    <t xml:space="preserve">N° MATRICULE</t>
  </si>
  <si>
    <t xml:space="preserve">N° DOSSIER</t>
  </si>
  <si>
    <t xml:space="preserve">QUALIFICATION </t>
  </si>
  <si>
    <t xml:space="preserve">PS</t>
  </si>
  <si>
    <t xml:space="preserve">PNC</t>
  </si>
  <si>
    <t xml:space="preserve">PNT</t>
  </si>
  <si>
    <t xml:space="preserve">Taux d'activité partielle (50%, 60 %, 80 %, etc…)</t>
  </si>
  <si>
    <t xml:space="preserve">Période de référence</t>
  </si>
  <si>
    <t xml:space="preserve">Salaires bruts soumis à cotisation </t>
  </si>
  <si>
    <t xml:space="preserve">Dont PUA / PFA</t>
  </si>
  <si>
    <t xml:space="preserve">Du</t>
  </si>
  <si>
    <t xml:space="preserve">Au</t>
  </si>
  <si>
    <t xml:space="preserve">(1)</t>
  </si>
  <si>
    <t xml:space="preserve">Salaires d'activité partielle (primes incluses) soumis à cotisation Prévoyance Maladie ;</t>
  </si>
  <si>
    <t xml:space="preserve">(2)</t>
  </si>
  <si>
    <t xml:space="preserve">A reconstituer en cas d'arrêt de travail sur la période considérée.</t>
  </si>
  <si>
    <t xml:space="preserve">Fait à :</t>
  </si>
  <si>
    <t xml:space="preserve">ROISSY CDG</t>
  </si>
  <si>
    <t xml:space="preserve">Cachet et Signature</t>
  </si>
  <si>
    <t xml:space="preserve">le :</t>
  </si>
  <si>
    <t xml:space="preserve">Nom du rédacteur :</t>
  </si>
  <si>
    <t xml:space="preserve">Téléphone :</t>
  </si>
  <si>
    <t xml:space="preserve">Mail :</t>
  </si>
  <si>
    <t xml:space="preserve">mail.csprh.vivinter@airfrance.fr</t>
  </si>
  <si>
    <t xml:space="preserve">Les informations recueillies font l’objet de traitements informatiques destinés à la passation, la promotion, la gestion et l’exécution des contrats proposés par </t>
  </si>
  <si>
    <t xml:space="preserve">notre groupe ainsi que le respect de nos obligations légales. Conformément à la loi «informatique et libertés» du 6 janvier 1978 modifiée en 2004, vous bénéficiez </t>
  </si>
  <si>
    <t xml:space="preserve">d’un droit d’accès et de rectification aux informations qui vous concernent, que vous pouvez exercer en vous adressant à : </t>
  </si>
  <si>
    <t xml:space="preserve">S2H – Service juridique – 18 rue de Courcelles 75384 Paris Cedex 08.</t>
  </si>
  <si>
    <t xml:space="preserve">A retourner à VIVINTER - Service Prevoyance - 82 rue Villeneuve - 92584 CLICHY Cedex - fax --&gt; 01 70 91 39 37 - mail --&gt; prevoyance@vivinter.fr</t>
  </si>
  <si>
    <t xml:space="preserve">M.L. : SIACI SAINT HONORE - SA à directoire et Conseil de Surveillance - Capital de 14 143 816 € - 18 rue de Courcelles - 75384 PARIS Cedex 08</t>
  </si>
  <si>
    <t xml:space="preserve">572 059 939 RCS Paris - Courtage d'assurances - n° immatriculation ORIAS 07 000 771 - APE 6622 Z - n° de TVA Intracommunautaire : FR 54 572 059 939</t>
  </si>
  <si>
    <t xml:space="preserve">MOP OP Attestation Vivinter</t>
  </si>
  <si>
    <t xml:space="preserve">Ne compléter que les cases :</t>
  </si>
  <si>
    <t xml:space="preserve">Autres Primes</t>
  </si>
  <si>
    <t xml:space="preserve">Nom du rédacteur </t>
  </si>
  <si>
    <t xml:space="preserve">Téléphone </t>
  </si>
  <si>
    <t xml:space="preserve">Signature</t>
  </si>
  <si>
    <t xml:space="preserve">Envoi de l'attestation à Vivinter :</t>
  </si>
  <si>
    <t xml:space="preserve">Cliquer sur l'onglet "Fichier" en haut à gauche </t>
  </si>
  <si>
    <t xml:space="preserve">Cliquer sur "enregistrer une copie"</t>
  </si>
  <si>
    <t xml:space="preserve">Sélectionner où vous souhaitez l'enregistrer sur votre bureau en indiquant le nom du fichier voulu ET sélectionner en PDF :</t>
  </si>
  <si>
    <t xml:space="preserve">Vous pourrez ensuite enregistrer le fichier sur la GED et l'envoyer à vivinter via Neocase.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</si>
</sst>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_(\$* #,##0.00_);_(\$* \(#,##0.00\);_(\$* \-??_);_(@_)"/>
    <numFmt numFmtId="166" formatCode="0;[RED]0"/>
    <numFmt numFmtId="167" formatCode="[$-40C]mmm\-yy;@"/>
    <numFmt numFmtId="168" formatCode="_-* #,##0.00&quot; €&quot;_-;\-* #,##0.00&quot; €&quot;_-;_-* \-??&quot; €&quot;_-;_-@_-"/>
    <numFmt numFmtId="169" formatCode="[&gt;=3000000000000]#\ ##\ ##\ ##\ ###\ ###&quot; | &quot;##;#\ ##\ ##\ ##\ ###\ ###"/>
    <numFmt numFmtId="170" formatCode="dd/mm/yyyy"/>
    <numFmt numFmtId="171" formatCode="0"/>
    <numFmt numFmtId="172" formatCode="m/d/yyyy"/>
    <numFmt numFmtId="173" formatCode="0%"/>
    <numFmt numFmtId="174" formatCode="dd/mm/yyyy;@"/>
    <numFmt numFmtId="175" formatCode="mmm\-yy"/>
    <numFmt numFmtId="176" formatCode="_-* #,##0.00_-;\-* #,##0.00_-;_-* \-??_-;_-@_-"/>
    <numFmt numFmtId="177" formatCode="0.00%"/>
    <numFmt numFmtId="178" formatCode="0.0000"/>
    <numFmt numFmtId="179" formatCode="_-* #,##0.00\ _€_-;\-* #,##0.00\ _€_-;_-* \-??\ _€_-;_-@_-"/>
    <numFmt numFmtId="180" formatCode="General"/>
    <numFmt numFmtId="181" formatCode="_-* #,##0.0000_-;\-* #,##0.0000_-;_-* \-??_-;_-@_-"/>
    <numFmt numFmtId="182" formatCode="#,##0.00&quot; €&quot;"/>
    <numFmt numFmtId="183" formatCode="0.000"/>
    <numFmt numFmtId="184" formatCode="@"/>
    <numFmt numFmtId="185" formatCode="0.00"/>
    <numFmt numFmtId="186" formatCode="0#\ ##\ ##\ ##\ ##"/>
  </numFmts>
  <fonts count="5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1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b val="true"/>
      <sz val="11"/>
      <color rgb="FFC00000"/>
      <name val="Times New Roman"/>
      <family val="1"/>
      <charset val="1"/>
    </font>
    <font>
      <b val="true"/>
      <sz val="11"/>
      <color theme="6" tint="-0.25"/>
      <name val="Calibri"/>
      <family val="2"/>
      <charset val="1"/>
    </font>
    <font>
      <sz val="11"/>
      <color theme="6" tint="-0.25"/>
      <name val="Times New Roman"/>
      <family val="1"/>
      <charset val="1"/>
    </font>
    <font>
      <sz val="10"/>
      <color theme="6" tint="-0.25"/>
      <name val="Times New Roman"/>
      <family val="1"/>
      <charset val="1"/>
    </font>
    <font>
      <sz val="10"/>
      <name val="Arial"/>
      <family val="2"/>
    </font>
    <font>
      <b val="true"/>
      <sz val="11"/>
      <color theme="1"/>
      <name val="Aptos Narrow"/>
      <family val="2"/>
      <charset val="1"/>
    </font>
    <font>
      <b val="true"/>
      <sz val="11"/>
      <color theme="8" tint="-0.25"/>
      <name val="Aptos Narrow"/>
      <family val="2"/>
      <charset val="1"/>
    </font>
    <font>
      <sz val="11"/>
      <color theme="7" tint="-0.5"/>
      <name val="Aptos Narrow"/>
      <family val="2"/>
      <charset val="1"/>
    </font>
    <font>
      <b val="true"/>
      <sz val="11"/>
      <color theme="9" tint="-0.5"/>
      <name val="Aptos Narrow"/>
      <family val="2"/>
      <charset val="1"/>
    </font>
    <font>
      <b val="true"/>
      <sz val="11"/>
      <color theme="9" tint="-0.25"/>
      <name val="Aptos Narrow"/>
      <family val="2"/>
      <charset val="1"/>
    </font>
    <font>
      <b val="true"/>
      <sz val="11"/>
      <color rgb="FFC00000"/>
      <name val="Aptos Narrow"/>
      <family val="2"/>
      <charset val="1"/>
    </font>
    <font>
      <sz val="11"/>
      <color rgb="FF0070C0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1"/>
      <color theme="9" tint="0.3999"/>
      <name val="Aptos Narrow"/>
      <family val="2"/>
      <charset val="1"/>
    </font>
    <font>
      <sz val="11"/>
      <color rgb="FFC0000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theme="6" tint="-0.25"/>
      <name val="Aptos Narrow"/>
      <family val="2"/>
      <charset val="1"/>
    </font>
    <font>
      <sz val="11"/>
      <name val="Aptos Narrow"/>
      <family val="2"/>
      <charset val="1"/>
    </font>
    <font>
      <sz val="10"/>
      <name val="Arial"/>
      <family val="2"/>
      <charset val="1"/>
    </font>
    <font>
      <b val="true"/>
      <shadow val="true"/>
      <sz val="16"/>
      <name val="Arial Rounded MT Bold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4"/>
      <color rgb="FFFFFFFF"/>
      <name val="Arial"/>
      <family val="2"/>
      <charset val="1"/>
    </font>
    <font>
      <b val="true"/>
      <i val="true"/>
      <sz val="12"/>
      <name val="Arial"/>
      <family val="2"/>
      <charset val="1"/>
    </font>
    <font>
      <sz val="11"/>
      <name val="Arial"/>
      <family val="2"/>
      <charset val="1"/>
    </font>
    <font>
      <b val="true"/>
      <i val="true"/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FF6600"/>
      <name val="Arial"/>
      <family val="2"/>
      <charset val="1"/>
    </font>
    <font>
      <sz val="10"/>
      <name val="Arial Narrow"/>
      <family val="2"/>
      <charset val="1"/>
    </font>
    <font>
      <sz val="7"/>
      <name val="Arial"/>
      <family val="2"/>
      <charset val="1"/>
    </font>
    <font>
      <b val="true"/>
      <sz val="7"/>
      <name val="Arial"/>
      <family val="2"/>
      <charset val="1"/>
    </font>
    <font>
      <sz val="9"/>
      <name val="Arial"/>
      <family val="2"/>
      <charset val="1"/>
    </font>
    <font>
      <b val="true"/>
      <i val="true"/>
      <sz val="9"/>
      <color rgb="FF333333"/>
      <name val="Arial Narrow"/>
      <family val="2"/>
      <charset val="1"/>
    </font>
    <font>
      <b val="true"/>
      <i val="true"/>
      <sz val="11"/>
      <color rgb="FF333333"/>
      <name val="Arial Narrow"/>
      <family val="2"/>
      <charset val="1"/>
    </font>
    <font>
      <b val="true"/>
      <i val="true"/>
      <sz val="8"/>
      <color rgb="FF333333"/>
      <name val="Arial Narrow"/>
      <family val="2"/>
      <charset val="1"/>
    </font>
    <font>
      <b val="true"/>
      <i val="true"/>
      <sz val="5"/>
      <color rgb="FF333333"/>
      <name val="Arial Narrow"/>
      <family val="2"/>
      <charset val="1"/>
    </font>
    <font>
      <i val="true"/>
      <sz val="8"/>
      <name val="Arial"/>
      <family val="2"/>
      <charset val="1"/>
    </font>
    <font>
      <b val="true"/>
      <u val="single"/>
      <sz val="26"/>
      <color theme="6" tint="0.3999"/>
      <name val="Aptos Narrow"/>
      <family val="2"/>
      <charset val="1"/>
    </font>
    <font>
      <b val="true"/>
      <u val="single"/>
      <sz val="20"/>
      <color rgb="FFFF0000"/>
      <name val="Aptos Narrow"/>
      <family val="2"/>
      <charset val="1"/>
    </font>
    <font>
      <sz val="14"/>
      <color theme="1"/>
      <name val="Aptos Narrow"/>
      <family val="2"/>
      <charset val="1"/>
    </font>
    <font>
      <sz val="14"/>
      <color theme="3" tint="0.2499"/>
      <name val="Aptos Narrow"/>
      <family val="2"/>
      <charset val="1"/>
    </font>
    <font>
      <sz val="14"/>
      <color theme="3" tint="0.2499"/>
      <name val="Arial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5" tint="0.7999"/>
        <bgColor rgb="FFF2CFEE"/>
      </patternFill>
    </fill>
    <fill>
      <patternFill patternType="solid">
        <fgColor rgb="FFFF7578"/>
        <bgColor rgb="FFFF8B8B"/>
      </patternFill>
    </fill>
    <fill>
      <patternFill patternType="solid">
        <fgColor theme="9" tint="0.3999"/>
        <bgColor rgb="FFB4E5A2"/>
      </patternFill>
    </fill>
    <fill>
      <patternFill patternType="solid">
        <fgColor theme="7" tint="0.7999"/>
        <bgColor rgb="FFCAEDFB"/>
      </patternFill>
    </fill>
    <fill>
      <patternFill patternType="solid">
        <fgColor theme="0"/>
        <bgColor rgb="FFFBE3D6"/>
      </patternFill>
    </fill>
    <fill>
      <patternFill patternType="solid">
        <fgColor theme="4" tint="0.7999"/>
        <bgColor rgb="FFCAEDFB"/>
      </patternFill>
    </fill>
    <fill>
      <patternFill patternType="solid">
        <fgColor theme="3" tint="0.7499"/>
        <bgColor rgb="FFC0C0C0"/>
      </patternFill>
    </fill>
    <fill>
      <patternFill patternType="solid">
        <fgColor theme="8" tint="0.7999"/>
        <bgColor rgb="FFFBE3D6"/>
      </patternFill>
    </fill>
    <fill>
      <patternFill patternType="solid">
        <fgColor rgb="FFFF8B8B"/>
        <bgColor rgb="FFFF7578"/>
      </patternFill>
    </fill>
    <fill>
      <patternFill patternType="solid">
        <fgColor theme="9" tint="0.5999"/>
        <bgColor rgb="FF8ED973"/>
      </patternFill>
    </fill>
    <fill>
      <patternFill patternType="solid">
        <fgColor rgb="FFCAEDFB"/>
        <bgColor rgb="FFCAEEFB"/>
      </patternFill>
    </fill>
    <fill>
      <patternFill patternType="solid">
        <fgColor theme="5" tint="0.3999"/>
        <bgColor rgb="FFFF8B8B"/>
      </patternFill>
    </fill>
    <fill>
      <patternFill patternType="solid">
        <fgColor rgb="FFFF6600"/>
        <bgColor rgb="FFFF9900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7030A0"/>
      </left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theme="1"/>
      </left>
      <right style="thin">
        <color theme="1"/>
      </right>
      <top/>
      <bottom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>
        <color rgb="FFFF0000"/>
      </top>
      <bottom style="thin">
        <color rgb="FFFF0000"/>
      </bottom>
      <diagonal/>
    </border>
    <border diagonalUp="false" diagonalDown="false">
      <left/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>
        <color rgb="FFC0C0C0"/>
      </right>
      <top style="thin"/>
      <bottom style="thin">
        <color rgb="FFC0C0C0"/>
      </bottom>
      <diagonal/>
    </border>
    <border diagonalUp="false" diagonalDown="false">
      <left style="medium">
        <color rgb="FFFF6600"/>
      </left>
      <right style="thin">
        <color rgb="FFFF6600"/>
      </right>
      <top style="medium">
        <color rgb="FFFF6600"/>
      </top>
      <bottom/>
      <diagonal/>
    </border>
    <border diagonalUp="false" diagonalDown="false">
      <left style="thin">
        <color rgb="FFFF6600"/>
      </left>
      <right style="thin">
        <color rgb="FFFF6600"/>
      </right>
      <top style="medium">
        <color rgb="FFFF6600"/>
      </top>
      <bottom/>
      <diagonal/>
    </border>
    <border diagonalUp="false" diagonalDown="false">
      <left style="thin">
        <color rgb="FFFF6600"/>
      </left>
      <right/>
      <top style="medium">
        <color rgb="FFFF6600"/>
      </top>
      <bottom/>
      <diagonal/>
    </border>
    <border diagonalUp="false" diagonalDown="false">
      <left/>
      <right style="thin">
        <color rgb="FFFF6600"/>
      </right>
      <top style="medium">
        <color rgb="FFFF6600"/>
      </top>
      <bottom/>
      <diagonal/>
    </border>
    <border diagonalUp="false" diagonalDown="false">
      <left/>
      <right style="medium">
        <color rgb="FFFF6600"/>
      </right>
      <top style="medium">
        <color rgb="FFFF6600"/>
      </top>
      <bottom style="medium">
        <color theme="9" tint="-0.25"/>
      </bottom>
      <diagonal/>
    </border>
    <border diagonalUp="false" diagonalDown="false">
      <left style="medium">
        <color rgb="FFFF6600"/>
      </left>
      <right style="thin">
        <color rgb="FFFF6600"/>
      </right>
      <top/>
      <bottom/>
      <diagonal/>
    </border>
    <border diagonalUp="false" diagonalDown="false">
      <left style="thin">
        <color rgb="FFFF6600"/>
      </left>
      <right style="thin">
        <color rgb="FFFF6600"/>
      </right>
      <top/>
      <bottom/>
      <diagonal/>
    </border>
    <border diagonalUp="false" diagonalDown="false">
      <left style="thin">
        <color rgb="FFFF6600"/>
      </left>
      <right style="thin">
        <color rgb="FFFF6600"/>
      </right>
      <top/>
      <bottom style="medium">
        <color theme="9" tint="-0.25"/>
      </bottom>
      <diagonal/>
    </border>
    <border diagonalUp="false" diagonalDown="false">
      <left style="medium">
        <color theme="9" tint="-0.25"/>
      </left>
      <right style="thin">
        <color theme="9" tint="-0.25"/>
      </right>
      <top style="medium">
        <color theme="9" tint="-0.25"/>
      </top>
      <bottom style="thin">
        <color theme="9" tint="-0.25"/>
      </bottom>
      <diagonal/>
    </border>
    <border diagonalUp="false" diagonalDown="false">
      <left/>
      <right/>
      <top style="medium">
        <color theme="9" tint="-0.25"/>
      </top>
      <bottom style="thin">
        <color theme="9" tint="-0.25"/>
      </bottom>
      <diagonal/>
    </border>
    <border diagonalUp="false" diagonalDown="false">
      <left style="medium">
        <color theme="9" tint="-0.25"/>
      </left>
      <right style="medium">
        <color theme="9" tint="-0.25"/>
      </right>
      <top style="medium">
        <color theme="9" tint="-0.25"/>
      </top>
      <bottom style="thin">
        <color theme="9" tint="-0.25"/>
      </bottom>
      <diagonal/>
    </border>
    <border diagonalUp="false" diagonalDown="false">
      <left/>
      <right style="thin">
        <color theme="9" tint="-0.25"/>
      </right>
      <top style="medium">
        <color theme="9" tint="-0.25"/>
      </top>
      <bottom style="thin">
        <color theme="9" tint="-0.25"/>
      </bottom>
      <diagonal/>
    </border>
    <border diagonalUp="false" diagonalDown="false">
      <left style="thin">
        <color theme="9" tint="-0.25"/>
      </left>
      <right/>
      <top style="thin">
        <color theme="9" tint="-0.25"/>
      </top>
      <bottom style="thin">
        <color theme="9" tint="-0.25"/>
      </bottom>
      <diagonal/>
    </border>
    <border diagonalUp="false" diagonalDown="false">
      <left style="thin">
        <color theme="6" tint="-0.25"/>
      </left>
      <right style="medium">
        <color theme="6" tint="-0.25"/>
      </right>
      <top style="medium">
        <color theme="9" tint="-0.25"/>
      </top>
      <bottom style="thin">
        <color theme="9" tint="-0.25"/>
      </bottom>
      <diagonal/>
    </border>
    <border diagonalUp="false" diagonalDown="false">
      <left style="medium">
        <color theme="9" tint="-0.25"/>
      </left>
      <right style="thin">
        <color theme="9" tint="-0.25"/>
      </right>
      <top/>
      <bottom/>
      <diagonal/>
    </border>
    <border diagonalUp="false" diagonalDown="false">
      <left style="medium">
        <color theme="9" tint="-0.25"/>
      </left>
      <right style="medium">
        <color theme="9" tint="-0.25"/>
      </right>
      <top style="thin">
        <color theme="9" tint="-0.25"/>
      </top>
      <bottom style="thin">
        <color theme="9" tint="-0.25"/>
      </bottom>
      <diagonal/>
    </border>
    <border diagonalUp="false" diagonalDown="false">
      <left/>
      <right style="thin">
        <color theme="9" tint="-0.25"/>
      </right>
      <top style="thin">
        <color theme="9" tint="-0.25"/>
      </top>
      <bottom style="thin">
        <color theme="9" tint="-0.25"/>
      </bottom>
      <diagonal/>
    </border>
    <border diagonalUp="false" diagonalDown="false">
      <left style="thin">
        <color theme="6" tint="-0.25"/>
      </left>
      <right style="medium">
        <color theme="6" tint="-0.25"/>
      </right>
      <top style="thin">
        <color theme="9" tint="-0.25"/>
      </top>
      <bottom style="thin">
        <color theme="9" tint="-0.25"/>
      </bottom>
      <diagonal/>
    </border>
    <border diagonalUp="false" diagonalDown="false">
      <left style="medium">
        <color theme="9" tint="-0.25"/>
      </left>
      <right style="thin">
        <color theme="9" tint="-0.25"/>
      </right>
      <top style="thin">
        <color theme="9" tint="-0.25"/>
      </top>
      <bottom style="thin">
        <color theme="9" tint="-0.25"/>
      </bottom>
      <diagonal/>
    </border>
    <border diagonalUp="false" diagonalDown="false">
      <left/>
      <right/>
      <top style="thin">
        <color theme="9" tint="-0.25"/>
      </top>
      <bottom style="thin">
        <color theme="9" tint="-0.25"/>
      </bottom>
      <diagonal/>
    </border>
    <border diagonalUp="false" diagonalDown="false">
      <left style="medium">
        <color theme="9" tint="-0.25"/>
      </left>
      <right style="thin">
        <color theme="9" tint="-0.25"/>
      </right>
      <top/>
      <bottom style="medium">
        <color theme="9" tint="-0.25"/>
      </bottom>
      <diagonal/>
    </border>
    <border diagonalUp="false" diagonalDown="false">
      <left/>
      <right/>
      <top/>
      <bottom style="medium">
        <color theme="9" tint="-0.25"/>
      </bottom>
      <diagonal/>
    </border>
    <border diagonalUp="false" diagonalDown="false">
      <left style="medium">
        <color theme="9" tint="-0.25"/>
      </left>
      <right style="medium">
        <color theme="9" tint="-0.25"/>
      </right>
      <top style="thin">
        <color theme="9" tint="-0.25"/>
      </top>
      <bottom style="medium">
        <color theme="9" tint="-0.25"/>
      </bottom>
      <diagonal/>
    </border>
    <border diagonalUp="false" diagonalDown="false">
      <left/>
      <right style="thin"/>
      <top/>
      <bottom style="medium">
        <color theme="9" tint="-0.25"/>
      </bottom>
      <diagonal/>
    </border>
    <border diagonalUp="false" diagonalDown="false">
      <left style="thin">
        <color theme="9" tint="-0.25"/>
      </left>
      <right/>
      <top/>
      <bottom style="medium">
        <color theme="9" tint="-0.25"/>
      </bottom>
      <diagonal/>
    </border>
    <border diagonalUp="false" diagonalDown="false">
      <left style="thin">
        <color theme="6" tint="-0.25"/>
      </left>
      <right style="medium">
        <color theme="6" tint="-0.25"/>
      </right>
      <top style="thin">
        <color theme="9" tint="-0.25"/>
      </top>
      <bottom style="medium">
        <color theme="6" tint="-0.25"/>
      </bottom>
      <diagonal/>
    </border>
    <border diagonalUp="false" diagonalDown="false">
      <left style="thin">
        <color rgb="FFFF9900"/>
      </left>
      <right/>
      <top style="thin">
        <color rgb="FFFF9900"/>
      </top>
      <bottom/>
      <diagonal/>
    </border>
    <border diagonalUp="false" diagonalDown="false">
      <left/>
      <right/>
      <top style="thin">
        <color rgb="FFFF9900"/>
      </top>
      <bottom/>
      <diagonal/>
    </border>
    <border diagonalUp="false" diagonalDown="false">
      <left/>
      <right style="thin">
        <color rgb="FFFF9900"/>
      </right>
      <top style="thin">
        <color rgb="FFFF9900"/>
      </top>
      <bottom/>
      <diagonal/>
    </border>
    <border diagonalUp="false" diagonalDown="false">
      <left style="thin">
        <color rgb="FFFF9900"/>
      </left>
      <right/>
      <top/>
      <bottom/>
      <diagonal/>
    </border>
    <border diagonalUp="false" diagonalDown="false">
      <left/>
      <right style="thin">
        <color rgb="FFFF9900"/>
      </right>
      <top/>
      <bottom/>
      <diagonal/>
    </border>
    <border diagonalUp="false" diagonalDown="false">
      <left style="thin">
        <color rgb="FFFF9900"/>
      </left>
      <right style="thin">
        <color rgb="FFFF9900"/>
      </right>
      <top/>
      <bottom style="thin">
        <color rgb="FFFF990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8" fontId="8" fillId="2" borderId="0" xfId="0" applyFont="true" applyBorder="false" applyAlignment="true" applyProtection="true">
      <alignment horizontal="left" vertical="top" textRotation="0" wrapText="true" indent="1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9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8" fillId="2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6" fillId="2" borderId="4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4" fontId="8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6" fillId="2" borderId="5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71" fontId="6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4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true">
      <alignment horizontal="left" vertical="top" textRotation="0" wrapText="true" indent="1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6" fillId="2" borderId="6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4" fontId="8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6" fillId="2" borderId="6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72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8" fontId="5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6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8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3" fontId="9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8" fillId="0" borderId="1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74" fontId="6" fillId="0" borderId="12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74" fontId="6" fillId="0" borderId="5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8" fontId="10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0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4" fontId="6" fillId="0" borderId="14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74" fontId="6" fillId="0" borderId="2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8" fontId="1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3" fontId="5" fillId="0" borderId="1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1" fontId="6" fillId="0" borderId="19" xfId="0" applyFont="true" applyBorder="true" applyAlignment="true" applyProtection="true">
      <alignment horizontal="right" vertical="top" textRotation="0" wrapText="false" indent="0" shrinkToFit="true"/>
      <protection locked="true" hidden="false"/>
    </xf>
    <xf numFmtId="168" fontId="8" fillId="2" borderId="19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8" fontId="8" fillId="2" borderId="2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8" fillId="0" borderId="20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8" fontId="8" fillId="0" borderId="2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4" fontId="6" fillId="0" borderId="18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4" fontId="8" fillId="0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4" fontId="6" fillId="0" borderId="19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8" fontId="10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0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2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1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4" fontId="6" fillId="0" borderId="6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4" fontId="8" fillId="0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11" fillId="0" borderId="2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8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2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1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3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3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3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3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7" fontId="0" fillId="5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0" fillId="5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6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5" fillId="2" borderId="3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5" fillId="2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5" fillId="9" borderId="3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9" borderId="3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0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5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0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6" fillId="1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11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4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2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5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0" fillId="5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5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5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5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4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3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13" borderId="4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6" fillId="1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1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4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38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38" fillId="0" borderId="4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5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3" fillId="0" borderId="5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3" fillId="0" borderId="5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3" fillId="0" borderId="5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3" fillId="0" borderId="5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5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5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5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3" fillId="0" borderId="5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3" fillId="0" borderId="5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2" fontId="33" fillId="0" borderId="5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5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6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6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6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7" fontId="33" fillId="0" borderId="6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6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6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6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0" fillId="0" borderId="6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7" fontId="33" fillId="0" borderId="6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6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6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7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3" fillId="0" borderId="7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7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7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33" fillId="0" borderId="7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7" fontId="33" fillId="0" borderId="7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5" fontId="41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0" borderId="4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30" fillId="0" borderId="4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7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7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7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7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8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8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étaire 2" xfId="20"/>
    <cellStyle name="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A7D22"/>
      <rgbColor rgb="FF000080"/>
      <rgbColor rgb="FF808000"/>
      <rgbColor rgb="FF800080"/>
      <rgbColor rgb="FF0B77A0"/>
      <rgbColor rgb="FFC0C0C0"/>
      <rgbColor rgb="FF808080"/>
      <rgbColor rgb="FF9999FF"/>
      <rgbColor rgb="FF78206E"/>
      <rgbColor rgb="FFFBE3D6"/>
      <rgbColor rgb="FFCAEEFB"/>
      <rgbColor rgb="FF660066"/>
      <rgbColor rgb="FFFF7578"/>
      <rgbColor rgb="FF0070C0"/>
      <rgbColor rgb="FFC1E5F5"/>
      <rgbColor rgb="FF000080"/>
      <rgbColor rgb="FFFF00FF"/>
      <rgbColor rgb="FFFFFF00"/>
      <rgbColor rgb="FF00FFFF"/>
      <rgbColor rgb="FF800080"/>
      <rgbColor rgb="FF800000"/>
      <rgbColor rgb="FF215F9A"/>
      <rgbColor rgb="FF0000FF"/>
      <rgbColor rgb="FF00CCFF"/>
      <rgbColor rgb="FFCAEDFB"/>
      <rgbColor rgb="FFB4E5A2"/>
      <rgbColor rgb="FFFFFF99"/>
      <rgbColor rgb="FFA6CAEC"/>
      <rgbColor rgb="FFFF8B8B"/>
      <rgbColor rgb="FFF2CFEE"/>
      <rgbColor rgb="FFF2AA84"/>
      <rgbColor rgb="FF3366FF"/>
      <rgbColor rgb="FF47D45A"/>
      <rgbColor rgb="FF8ED973"/>
      <rgbColor rgb="FFFFCC00"/>
      <rgbColor rgb="FFFF9900"/>
      <rgbColor rgb="FFFF6600"/>
      <rgbColor rgb="FF467886"/>
      <rgbColor rgb="FF969696"/>
      <rgbColor rgb="FF084F6B"/>
      <rgbColor rgb="FF3B7D23"/>
      <rgbColor rgb="FF13501B"/>
      <rgbColor rgb="FF275317"/>
      <rgbColor rgb="FFC04F15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266760</xdr:colOff>
      <xdr:row>0</xdr:row>
      <xdr:rowOff>144720</xdr:rowOff>
    </xdr:from>
    <xdr:to>
      <xdr:col>7</xdr:col>
      <xdr:colOff>1414080</xdr:colOff>
      <xdr:row>1</xdr:row>
      <xdr:rowOff>324360</xdr:rowOff>
    </xdr:to>
    <xdr:pic>
      <xdr:nvPicPr>
        <xdr:cNvPr id="0" name="Picture 10" descr=""/>
        <xdr:cNvPicPr/>
      </xdr:nvPicPr>
      <xdr:blipFill>
        <a:blip r:embed="rId1"/>
        <a:stretch/>
      </xdr:blipFill>
      <xdr:spPr>
        <a:xfrm>
          <a:off x="5243760" y="144720"/>
          <a:ext cx="3813120" cy="360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60840</xdr:colOff>
      <xdr:row>0</xdr:row>
      <xdr:rowOff>129600</xdr:rowOff>
    </xdr:from>
    <xdr:to>
      <xdr:col>3</xdr:col>
      <xdr:colOff>583560</xdr:colOff>
      <xdr:row>2</xdr:row>
      <xdr:rowOff>178200</xdr:rowOff>
    </xdr:to>
    <xdr:pic>
      <xdr:nvPicPr>
        <xdr:cNvPr id="1" name="Picture 11" descr=""/>
        <xdr:cNvPicPr/>
      </xdr:nvPicPr>
      <xdr:blipFill>
        <a:blip r:embed="rId2"/>
        <a:stretch/>
      </xdr:blipFill>
      <xdr:spPr>
        <a:xfrm>
          <a:off x="353520" y="129600"/>
          <a:ext cx="3065400" cy="658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753120</xdr:colOff>
      <xdr:row>14</xdr:row>
      <xdr:rowOff>161280</xdr:rowOff>
    </xdr:from>
    <xdr:to>
      <xdr:col>7</xdr:col>
      <xdr:colOff>559800</xdr:colOff>
      <xdr:row>33</xdr:row>
      <xdr:rowOff>141120</xdr:rowOff>
    </xdr:to>
    <xdr:pic>
      <xdr:nvPicPr>
        <xdr:cNvPr id="2" name="Image 15" descr=""/>
        <xdr:cNvPicPr/>
      </xdr:nvPicPr>
      <xdr:blipFill>
        <a:blip r:embed="rId1"/>
        <a:stretch/>
      </xdr:blipFill>
      <xdr:spPr>
        <a:xfrm>
          <a:off x="753120" y="3647520"/>
          <a:ext cx="6216480" cy="341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3</xdr:col>
      <xdr:colOff>92160</xdr:colOff>
      <xdr:row>58</xdr:row>
      <xdr:rowOff>149400</xdr:rowOff>
    </xdr:to>
    <xdr:pic>
      <xdr:nvPicPr>
        <xdr:cNvPr id="3" name="Image 16" descr=""/>
        <xdr:cNvPicPr/>
      </xdr:nvPicPr>
      <xdr:blipFill>
        <a:blip r:embed="rId2"/>
        <a:stretch/>
      </xdr:blipFill>
      <xdr:spPr>
        <a:xfrm>
          <a:off x="915840" y="7877160"/>
          <a:ext cx="1923480" cy="376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27000</xdr:colOff>
      <xdr:row>62</xdr:row>
      <xdr:rowOff>9000</xdr:rowOff>
    </xdr:from>
    <xdr:to>
      <xdr:col>12</xdr:col>
      <xdr:colOff>243000</xdr:colOff>
      <xdr:row>89</xdr:row>
      <xdr:rowOff>91440</xdr:rowOff>
    </xdr:to>
    <xdr:pic>
      <xdr:nvPicPr>
        <xdr:cNvPr id="4" name="Image 18" descr=""/>
        <xdr:cNvPicPr/>
      </xdr:nvPicPr>
      <xdr:blipFill>
        <a:blip r:embed="rId3"/>
        <a:stretch/>
      </xdr:blipFill>
      <xdr:spPr>
        <a:xfrm>
          <a:off x="942840" y="12277080"/>
          <a:ext cx="10288080" cy="496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mail.csprh.vivinter@airfrance.fr" TargetMode="External"/><Relationship Id="rId2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4F15"/>
    <pageSetUpPr fitToPage="true"/>
  </sheetPr>
  <dimension ref="A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4" activeCellId="0" sqref="P14"/>
    </sheetView>
  </sheetViews>
  <sheetFormatPr defaultColWidth="8.00390625" defaultRowHeight="12.75" zeroHeight="false" outlineLevelRow="0" outlineLevelCol="0"/>
  <cols>
    <col collapsed="false" customWidth="true" hidden="false" outlineLevel="0" max="1" min="1" style="1" width="18.56"/>
    <col collapsed="false" customWidth="true" hidden="false" outlineLevel="0" max="2" min="2" style="1" width="11.33"/>
    <col collapsed="false" customWidth="true" hidden="false" outlineLevel="0" max="3" min="3" style="1" width="12.33"/>
    <col collapsed="false" customWidth="true" hidden="false" outlineLevel="0" max="5" min="4" style="1" width="12"/>
    <col collapsed="false" customWidth="true" hidden="false" outlineLevel="0" max="6" min="6" style="1" width="12.33"/>
    <col collapsed="false" customWidth="true" hidden="false" outlineLevel="0" max="7" min="7" style="1" width="10.66"/>
    <col collapsed="false" customWidth="true" hidden="false" outlineLevel="0" max="8" min="8" style="1" width="11.33"/>
    <col collapsed="false" customWidth="true" hidden="false" outlineLevel="0" max="10" min="9" style="1" width="12"/>
    <col collapsed="false" customWidth="true" hidden="false" outlineLevel="0" max="11" min="11" style="1" width="12.11"/>
    <col collapsed="false" customWidth="true" hidden="false" outlineLevel="0" max="12" min="12" style="1" width="11.56"/>
    <col collapsed="false" customWidth="true" hidden="false" outlineLevel="0" max="13" min="13" style="1" width="11.44"/>
    <col collapsed="false" customWidth="true" hidden="false" outlineLevel="0" max="14" min="14" style="1" width="11.56"/>
    <col collapsed="false" customWidth="true" hidden="false" outlineLevel="0" max="15" min="15" style="1" width="12"/>
    <col collapsed="false" customWidth="false" hidden="false" outlineLevel="0" max="16" min="16" style="1" width="8"/>
    <col collapsed="false" customWidth="true" hidden="true" outlineLevel="0" max="17" min="17" style="1" width="9.14"/>
    <col collapsed="false" customWidth="false" hidden="false" outlineLevel="0" max="16384" min="18" style="1" width="8"/>
  </cols>
  <sheetData>
    <row r="1" customFormat="false" ht="14.25" hidden="false" customHeight="true" outlineLevel="0" collapsed="false">
      <c r="A1" s="2" t="s">
        <v>0</v>
      </c>
      <c r="B1" s="3" t="n">
        <v>30</v>
      </c>
      <c r="C1" s="4" t="n">
        <v>46174</v>
      </c>
      <c r="Q1" s="1" t="s">
        <v>1</v>
      </c>
    </row>
    <row r="2" customFormat="false" ht="14.25" hidden="false" customHeight="true" outlineLevel="0" collapsed="false">
      <c r="A2" s="2" t="s">
        <v>2</v>
      </c>
      <c r="B2" s="5"/>
      <c r="C2" s="5"/>
      <c r="D2" s="6"/>
      <c r="E2" s="2" t="s">
        <v>3</v>
      </c>
      <c r="F2" s="7"/>
      <c r="G2" s="6"/>
      <c r="H2" s="8" t="s">
        <v>4</v>
      </c>
      <c r="I2" s="8"/>
      <c r="J2" s="8"/>
      <c r="K2" s="8"/>
      <c r="L2" s="8" t="s">
        <v>5</v>
      </c>
      <c r="M2" s="8" t="s">
        <v>6</v>
      </c>
      <c r="N2" s="6"/>
      <c r="O2" s="9"/>
      <c r="Q2" s="1" t="s">
        <v>7</v>
      </c>
    </row>
    <row r="3" customFormat="false" ht="15" hidden="false" customHeight="true" outlineLevel="0" collapsed="false">
      <c r="A3" s="2" t="s">
        <v>8</v>
      </c>
      <c r="B3" s="10"/>
      <c r="C3" s="10"/>
      <c r="D3" s="11"/>
      <c r="E3" s="2" t="s">
        <v>9</v>
      </c>
      <c r="F3" s="12"/>
      <c r="G3" s="6"/>
      <c r="H3" s="13" t="s">
        <v>10</v>
      </c>
      <c r="I3" s="14"/>
      <c r="J3" s="15" t="s">
        <v>11</v>
      </c>
      <c r="K3" s="16"/>
      <c r="L3" s="17" t="str">
        <f aca="false">IF(I3&gt;0,K3-I3+1,"")</f>
        <v/>
      </c>
      <c r="M3" s="18"/>
      <c r="N3" s="6"/>
      <c r="O3" s="9"/>
      <c r="Q3" s="1" t="s">
        <v>12</v>
      </c>
    </row>
    <row r="4" customFormat="false" ht="14.25" hidden="false" customHeight="true" outlineLevel="0" collapsed="false">
      <c r="A4" s="2" t="s">
        <v>13</v>
      </c>
      <c r="B4" s="19"/>
      <c r="C4" s="19"/>
      <c r="D4" s="11"/>
      <c r="E4" s="2"/>
      <c r="F4" s="20" t="n">
        <f aca="false">SUM(F2:F3)</f>
        <v>0</v>
      </c>
      <c r="G4" s="6"/>
      <c r="H4" s="21" t="s">
        <v>10</v>
      </c>
      <c r="I4" s="22"/>
      <c r="J4" s="23" t="s">
        <v>14</v>
      </c>
      <c r="K4" s="24"/>
      <c r="L4" s="17" t="str">
        <f aca="false">IF(I4&gt;0,K4-I4+1,"")</f>
        <v/>
      </c>
      <c r="M4" s="18"/>
      <c r="N4" s="6"/>
      <c r="O4" s="9"/>
    </row>
    <row r="5" customFormat="false" ht="14.25" hidden="false" customHeight="true" outlineLevel="0" collapsed="false">
      <c r="A5" s="2" t="s">
        <v>15</v>
      </c>
      <c r="B5" s="19"/>
      <c r="C5" s="19"/>
      <c r="D5" s="11"/>
      <c r="E5" s="2" t="s">
        <v>16</v>
      </c>
      <c r="F5" s="7"/>
      <c r="G5" s="6"/>
      <c r="H5" s="21" t="s">
        <v>10</v>
      </c>
      <c r="I5" s="22"/>
      <c r="J5" s="23" t="s">
        <v>14</v>
      </c>
      <c r="K5" s="24"/>
      <c r="L5" s="17" t="str">
        <f aca="false">IF(I5&gt;0,K5-I5+1,"")</f>
        <v/>
      </c>
      <c r="M5" s="18"/>
      <c r="N5" s="6"/>
      <c r="O5" s="9"/>
    </row>
    <row r="6" customFormat="false" ht="14.25" hidden="false" customHeight="true" outlineLevel="0" collapsed="false">
      <c r="A6" s="2" t="s">
        <v>17</v>
      </c>
      <c r="B6" s="19"/>
      <c r="C6" s="19"/>
      <c r="D6" s="11"/>
      <c r="E6" s="2" t="s">
        <v>18</v>
      </c>
      <c r="F6" s="12"/>
      <c r="G6" s="6"/>
      <c r="H6" s="21" t="s">
        <v>10</v>
      </c>
      <c r="I6" s="22"/>
      <c r="J6" s="23" t="s">
        <v>14</v>
      </c>
      <c r="K6" s="24"/>
      <c r="L6" s="17" t="str">
        <f aca="false">IF(I6&gt;0,K6-I6+1,"")</f>
        <v/>
      </c>
      <c r="M6" s="18"/>
      <c r="N6" s="6"/>
      <c r="O6" s="9"/>
    </row>
    <row r="7" customFormat="false" ht="15" hidden="false" customHeight="true" outlineLevel="0" collapsed="false">
      <c r="A7" s="2" t="s">
        <v>19</v>
      </c>
      <c r="B7" s="25"/>
      <c r="C7" s="25"/>
      <c r="D7" s="11"/>
      <c r="E7" s="26" t="s">
        <v>20</v>
      </c>
      <c r="F7" s="27" t="n">
        <f aca="false">SUM(F4:F6)</f>
        <v>0</v>
      </c>
      <c r="G7" s="6"/>
      <c r="H7" s="21" t="s">
        <v>10</v>
      </c>
      <c r="I7" s="22"/>
      <c r="J7" s="23" t="s">
        <v>14</v>
      </c>
      <c r="K7" s="24"/>
      <c r="L7" s="17" t="str">
        <f aca="false">IF(I7&gt;0,K7-I7+1,"")</f>
        <v/>
      </c>
      <c r="M7" s="18"/>
      <c r="N7" s="6"/>
      <c r="O7" s="9"/>
    </row>
    <row r="8" customFormat="false" ht="14.25" hidden="false" customHeight="true" outlineLevel="0" collapsed="false">
      <c r="A8" s="2" t="s">
        <v>21</v>
      </c>
      <c r="B8" s="28"/>
      <c r="C8" s="28"/>
      <c r="D8" s="29"/>
      <c r="E8" s="29"/>
      <c r="F8" s="29"/>
      <c r="G8" s="29"/>
      <c r="H8" s="21" t="s">
        <v>10</v>
      </c>
      <c r="I8" s="22"/>
      <c r="J8" s="23" t="s">
        <v>14</v>
      </c>
      <c r="K8" s="24"/>
      <c r="L8" s="17" t="str">
        <f aca="false">IF(I8&gt;0,K8-I8+1,"")</f>
        <v/>
      </c>
      <c r="M8" s="18"/>
      <c r="N8" s="29"/>
      <c r="O8" s="30"/>
    </row>
    <row r="9" customFormat="false" ht="14.25" hidden="false" customHeight="true" outlineLevel="0" collapsed="false">
      <c r="A9" s="2"/>
      <c r="B9" s="31"/>
      <c r="C9" s="31"/>
      <c r="D9" s="29"/>
      <c r="E9" s="29"/>
      <c r="F9" s="29"/>
      <c r="G9" s="29"/>
      <c r="H9" s="21" t="s">
        <v>10</v>
      </c>
      <c r="I9" s="22"/>
      <c r="J9" s="23" t="s">
        <v>14</v>
      </c>
      <c r="K9" s="24"/>
      <c r="L9" s="17" t="str">
        <f aca="false">IF(I9&gt;0,K9-I9+1,"")</f>
        <v/>
      </c>
      <c r="M9" s="18"/>
      <c r="N9" s="29"/>
      <c r="O9" s="30"/>
    </row>
    <row r="10" customFormat="false" ht="14.25" hidden="false" customHeight="true" outlineLevel="0" collapsed="false">
      <c r="A10" s="32"/>
      <c r="B10" s="33"/>
      <c r="C10" s="33"/>
      <c r="D10" s="29"/>
      <c r="E10" s="29"/>
      <c r="F10" s="29"/>
      <c r="G10" s="29"/>
      <c r="H10" s="21" t="s">
        <v>10</v>
      </c>
      <c r="I10" s="22"/>
      <c r="J10" s="23" t="s">
        <v>14</v>
      </c>
      <c r="K10" s="24"/>
      <c r="L10" s="17" t="str">
        <f aca="false">IF(I10&gt;0,K10-I10+1,"")</f>
        <v/>
      </c>
      <c r="M10" s="18"/>
      <c r="N10" s="29"/>
      <c r="O10" s="30"/>
    </row>
    <row r="11" customFormat="false" ht="14.25" hidden="false" customHeight="true" outlineLevel="0" collapsed="false">
      <c r="A11" s="2"/>
      <c r="B11" s="31"/>
      <c r="C11" s="31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</row>
    <row r="12" customFormat="false" ht="15" hidden="false" customHeight="true" outlineLevel="0" collapsed="false">
      <c r="A12" s="2"/>
      <c r="B12" s="34"/>
      <c r="C12" s="34"/>
      <c r="D12" s="29"/>
      <c r="E12" s="29"/>
      <c r="F12" s="29"/>
      <c r="G12" s="29"/>
      <c r="N12" s="29"/>
      <c r="O12" s="35"/>
    </row>
    <row r="13" customFormat="false" ht="15" hidden="false" customHeight="true" outlineLevel="0" collapsed="false">
      <c r="A13" s="36" t="s">
        <v>22</v>
      </c>
      <c r="B13" s="2"/>
      <c r="G13" s="1" t="s">
        <v>23</v>
      </c>
      <c r="H13" s="37" t="s">
        <v>24</v>
      </c>
      <c r="I13" s="37"/>
      <c r="J13" s="37"/>
      <c r="K13" s="37"/>
      <c r="L13" s="38" t="n">
        <v>0.21</v>
      </c>
      <c r="N13" s="29"/>
      <c r="O13" s="35"/>
    </row>
    <row r="14" customFormat="false" ht="15" hidden="false" customHeight="true" outlineLevel="0" collapsed="false">
      <c r="A14" s="39" t="s">
        <v>25</v>
      </c>
      <c r="B14" s="40" t="e">
        <f aca="false">+C17/B17</f>
        <v>#DIV/0!</v>
      </c>
      <c r="D14" s="29"/>
      <c r="E14" s="29"/>
      <c r="F14" s="29"/>
      <c r="G14" s="2"/>
      <c r="H14" s="41" t="str">
        <f aca="false">+IF(I3&gt;0,I3,"")</f>
        <v/>
      </c>
      <c r="I14" s="15" t="s">
        <v>11</v>
      </c>
      <c r="J14" s="42" t="str">
        <f aca="false">+IF(K3&gt;0,K3,"")</f>
        <v/>
      </c>
      <c r="K14" s="43" t="n">
        <f aca="false">IF(M3="ML35",$E$17*L3/$B$17,0)</f>
        <v>0</v>
      </c>
      <c r="L14" s="44" t="n">
        <f aca="false">K14*$F$16</f>
        <v>0</v>
      </c>
      <c r="O14" s="45"/>
    </row>
    <row r="15" customFormat="false" ht="15" hidden="false" customHeight="true" outlineLevel="0" collapsed="false">
      <c r="A15" s="29"/>
      <c r="B15" s="29"/>
      <c r="C15" s="29"/>
      <c r="D15" s="29"/>
      <c r="E15" s="29"/>
      <c r="F15" s="29"/>
      <c r="G15" s="29"/>
      <c r="H15" s="46" t="str">
        <f aca="false">+IF(I4&gt;0,I4,"")</f>
        <v/>
      </c>
      <c r="I15" s="23" t="s">
        <v>14</v>
      </c>
      <c r="J15" s="47" t="str">
        <f aca="false">+IF(K4&gt;0,K4,"")</f>
        <v/>
      </c>
      <c r="K15" s="48" t="n">
        <f aca="false">IF(M4="ML35",$E$17*L4/$B$17,0)</f>
        <v>0</v>
      </c>
      <c r="L15" s="44" t="n">
        <f aca="false">K15*$F$16</f>
        <v>0</v>
      </c>
      <c r="N15" s="29"/>
    </row>
    <row r="16" customFormat="false" ht="14.25" hidden="false" customHeight="true" outlineLevel="0" collapsed="false">
      <c r="A16" s="49"/>
      <c r="B16" s="50" t="s">
        <v>26</v>
      </c>
      <c r="C16" s="50" t="s">
        <v>27</v>
      </c>
      <c r="D16" s="50" t="s">
        <v>28</v>
      </c>
      <c r="E16" s="50" t="s">
        <v>29</v>
      </c>
      <c r="F16" s="51" t="n">
        <v>0.21</v>
      </c>
      <c r="G16" s="29"/>
      <c r="H16" s="46" t="str">
        <f aca="false">+IF(I5&gt;0,I5,"")</f>
        <v/>
      </c>
      <c r="I16" s="23" t="s">
        <v>14</v>
      </c>
      <c r="J16" s="47" t="str">
        <f aca="false">+IF(K5&gt;0,K5,"")</f>
        <v/>
      </c>
      <c r="K16" s="48" t="n">
        <f aca="false">IF(M5="ML35",$E$17*L5/$B$17,0)</f>
        <v>0</v>
      </c>
      <c r="L16" s="44" t="n">
        <f aca="false">K16*$F$16</f>
        <v>0</v>
      </c>
      <c r="N16" s="29"/>
    </row>
    <row r="17" customFormat="false" ht="14.25" hidden="false" customHeight="true" outlineLevel="0" collapsed="false">
      <c r="A17" s="52" t="s">
        <v>7</v>
      </c>
      <c r="B17" s="53" t="n">
        <f aca="false">SUMIF(M3:M10,"ML35",L3:L10)</f>
        <v>0</v>
      </c>
      <c r="C17" s="54"/>
      <c r="D17" s="55"/>
      <c r="E17" s="56" t="n">
        <f aca="false">+C17+D17</f>
        <v>0</v>
      </c>
      <c r="F17" s="57" t="n">
        <f aca="false">+E17*F16</f>
        <v>0</v>
      </c>
      <c r="G17" s="29"/>
      <c r="H17" s="46" t="str">
        <f aca="false">+IF(I6&gt;0,I6,"")</f>
        <v/>
      </c>
      <c r="I17" s="23" t="s">
        <v>14</v>
      </c>
      <c r="J17" s="47" t="str">
        <f aca="false">+IF(K6&gt;0,K6,"")</f>
        <v/>
      </c>
      <c r="K17" s="48" t="n">
        <f aca="false">IF(M6="ML35",$E$17*L6/$B$17,0)</f>
        <v>0</v>
      </c>
      <c r="L17" s="44" t="n">
        <f aca="false">K17*$F$16</f>
        <v>0</v>
      </c>
      <c r="N17" s="29"/>
    </row>
    <row r="18" customFormat="false" ht="14.25" hidden="false" customHeight="true" outlineLevel="0" collapsed="false">
      <c r="G18" s="29"/>
      <c r="H18" s="46" t="str">
        <f aca="false">+IF(I7&gt;0,I7,"")</f>
        <v/>
      </c>
      <c r="I18" s="23" t="s">
        <v>14</v>
      </c>
      <c r="J18" s="47" t="str">
        <f aca="false">+IF(K7&gt;0,K7,"")</f>
        <v/>
      </c>
      <c r="K18" s="48" t="n">
        <f aca="false">IF(M7="ML35",$E$17*L7/$B$17,0)</f>
        <v>0</v>
      </c>
      <c r="L18" s="44" t="n">
        <f aca="false">K18*$F$16</f>
        <v>0</v>
      </c>
      <c r="N18" s="29"/>
    </row>
    <row r="19" customFormat="false" ht="20.25" hidden="false" customHeight="true" outlineLevel="0" collapsed="false">
      <c r="G19" s="29"/>
      <c r="H19" s="46" t="str">
        <f aca="false">+IF(I8&gt;0,I8,"")</f>
        <v/>
      </c>
      <c r="I19" s="23" t="s">
        <v>14</v>
      </c>
      <c r="J19" s="47" t="str">
        <f aca="false">+IF(K8&gt;0,K8,"")</f>
        <v/>
      </c>
      <c r="K19" s="48" t="n">
        <f aca="false">IF(M8="ML35",$E$17*L8/$B$17,0)</f>
        <v>0</v>
      </c>
      <c r="L19" s="44" t="n">
        <f aca="false">K19*$F$16</f>
        <v>0</v>
      </c>
      <c r="N19" s="29"/>
    </row>
    <row r="20" customFormat="false" ht="14.25" hidden="false" customHeight="true" outlineLevel="0" collapsed="false">
      <c r="G20" s="29"/>
      <c r="H20" s="46" t="str">
        <f aca="false">+IF(I9&gt;0,I9,"")</f>
        <v/>
      </c>
      <c r="I20" s="23" t="s">
        <v>14</v>
      </c>
      <c r="J20" s="47" t="str">
        <f aca="false">+IF(K9&gt;0,K9,"")</f>
        <v/>
      </c>
      <c r="K20" s="48" t="n">
        <f aca="false">IF(M9="ML35",$E$17*L9/$B$17,0)</f>
        <v>0</v>
      </c>
      <c r="L20" s="44" t="n">
        <f aca="false">K20*$F$16</f>
        <v>0</v>
      </c>
      <c r="N20" s="29"/>
    </row>
    <row r="21" customFormat="false" ht="15" hidden="false" customHeight="true" outlineLevel="0" collapsed="false">
      <c r="G21" s="29"/>
      <c r="H21" s="58" t="str">
        <f aca="false">+IF(I10&gt;0,I10,"")</f>
        <v/>
      </c>
      <c r="I21" s="59" t="s">
        <v>14</v>
      </c>
      <c r="J21" s="60" t="str">
        <f aca="false">+IF(K10&gt;0,K10,"")</f>
        <v/>
      </c>
      <c r="K21" s="61" t="n">
        <f aca="false">IF(M10="ML35",$E$17*L10/$B$17,0)</f>
        <v>0</v>
      </c>
      <c r="L21" s="62" t="n">
        <f aca="false">K21*$F$16</f>
        <v>0</v>
      </c>
      <c r="N21" s="29"/>
    </row>
    <row r="22" customFormat="false" ht="14.25" hidden="false" customHeight="true" outlineLevel="0" collapsed="false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</row>
    <row r="23" customFormat="false" ht="15.75" hidden="false" customHeight="true" outlineLevel="0" collapsed="false">
      <c r="A23" s="63" t="s">
        <v>30</v>
      </c>
      <c r="B23" s="64"/>
      <c r="C23" s="64"/>
      <c r="D23" s="65"/>
      <c r="E23" s="65"/>
      <c r="F23" s="66"/>
      <c r="G23" s="65"/>
      <c r="H23" s="67" t="s">
        <v>31</v>
      </c>
      <c r="I23" s="67" t="s">
        <v>32</v>
      </c>
      <c r="J23" s="67" t="s">
        <v>33</v>
      </c>
      <c r="K23" s="68" t="s">
        <v>34</v>
      </c>
      <c r="L23" s="69" t="n">
        <v>0.21</v>
      </c>
    </row>
    <row r="24" customFormat="false" ht="14.25" hidden="false" customHeight="true" outlineLevel="0" collapsed="false">
      <c r="A24" s="70" t="s">
        <v>10</v>
      </c>
      <c r="B24" s="71" t="str">
        <f aca="false">+IF(I3&gt;0,I3,"")</f>
        <v/>
      </c>
      <c r="C24" s="72" t="s">
        <v>11</v>
      </c>
      <c r="D24" s="47" t="str">
        <f aca="false">+IF(K3&gt;0,K3,"")</f>
        <v/>
      </c>
      <c r="E24" s="73" t="str">
        <f aca="false">+IF(L3&gt;0,L3,"")</f>
        <v/>
      </c>
      <c r="F24" s="47" t="str">
        <f aca="false">+IF(M3&gt;0,M3,"")</f>
        <v/>
      </c>
      <c r="G24" s="74"/>
      <c r="H24" s="75" t="e">
        <f aca="false">IF(L3=0,0,(($F$4/30)*(E24/$B$1*30)))</f>
        <v>#VALUE!</v>
      </c>
      <c r="I24" s="75" t="n">
        <f aca="false">IF(F24="ML35",(($F$5+$F$6)/(SUMIF($M$3:$M$10,"ML35",$L$3:$L$10))*E24),0)</f>
        <v>0</v>
      </c>
      <c r="J24" s="75" t="n">
        <f aca="false">K14</f>
        <v>0</v>
      </c>
      <c r="K24" s="76" t="e">
        <f aca="false">H24+I24-J24</f>
        <v>#VALUE!</v>
      </c>
      <c r="L24" s="77" t="e">
        <f aca="false">K24*L23</f>
        <v>#VALUE!</v>
      </c>
      <c r="M24" s="78"/>
    </row>
    <row r="25" customFormat="false" ht="14.25" hidden="false" customHeight="true" outlineLevel="0" collapsed="false">
      <c r="A25" s="79" t="s">
        <v>10</v>
      </c>
      <c r="B25" s="71" t="str">
        <f aca="false">+IF(I4&gt;0,I4,"")</f>
        <v/>
      </c>
      <c r="C25" s="72" t="s">
        <v>11</v>
      </c>
      <c r="D25" s="47" t="str">
        <f aca="false">+IF(K4&gt;0,K4,"")</f>
        <v/>
      </c>
      <c r="E25" s="73" t="str">
        <f aca="false">+IF(L4&gt;0,L4,"")</f>
        <v/>
      </c>
      <c r="F25" s="47" t="str">
        <f aca="false">+IF(M4&gt;0,M4,"")</f>
        <v/>
      </c>
      <c r="G25" s="74"/>
      <c r="H25" s="75" t="e">
        <f aca="false">IF(L4=0,0,(($F$4/30)*(E25/$B$1*30)))</f>
        <v>#VALUE!</v>
      </c>
      <c r="I25" s="75" t="n">
        <f aca="false">IF(F25="ML35",(($F$5+$F$6)/(SUMIF($M$3:$M$10,"ML35",$L$3:$L$10))*E25),0)</f>
        <v>0</v>
      </c>
      <c r="J25" s="75" t="n">
        <f aca="false">K15</f>
        <v>0</v>
      </c>
      <c r="K25" s="76" t="e">
        <f aca="false">H25+I25-J25</f>
        <v>#VALUE!</v>
      </c>
      <c r="L25" s="77" t="e">
        <f aca="false">K25*$L$23</f>
        <v>#VALUE!</v>
      </c>
    </row>
    <row r="26" customFormat="false" ht="14.25" hidden="false" customHeight="true" outlineLevel="0" collapsed="false">
      <c r="A26" s="70" t="s">
        <v>10</v>
      </c>
      <c r="B26" s="71" t="str">
        <f aca="false">+IF(I5&gt;0,I5,"")</f>
        <v/>
      </c>
      <c r="C26" s="72" t="s">
        <v>11</v>
      </c>
      <c r="D26" s="47" t="str">
        <f aca="false">+IF(K5&gt;0,K5,"")</f>
        <v/>
      </c>
      <c r="E26" s="73" t="str">
        <f aca="false">+IF(L5&gt;0,L5,"")</f>
        <v/>
      </c>
      <c r="F26" s="47" t="str">
        <f aca="false">+IF(M5&gt;0,M5,"")</f>
        <v/>
      </c>
      <c r="G26" s="74"/>
      <c r="H26" s="75" t="e">
        <f aca="false">IF(L5=0,0,(($F$4/30)*(E26/$B$1*30)))</f>
        <v>#VALUE!</v>
      </c>
      <c r="I26" s="75" t="n">
        <f aca="false">IF(F26="ML35",(($F$5+$F$6)/(SUMIF($M$3:$M$10,"ML35",$L$3:$L$10))*E26),0)</f>
        <v>0</v>
      </c>
      <c r="J26" s="75" t="n">
        <f aca="false">K16</f>
        <v>0</v>
      </c>
      <c r="K26" s="76" t="e">
        <f aca="false">H26+I26-J26</f>
        <v>#VALUE!</v>
      </c>
      <c r="L26" s="77" t="e">
        <f aca="false">K26*$L$23</f>
        <v>#VALUE!</v>
      </c>
    </row>
    <row r="27" customFormat="false" ht="14.25" hidden="false" customHeight="true" outlineLevel="0" collapsed="false">
      <c r="A27" s="70" t="s">
        <v>10</v>
      </c>
      <c r="B27" s="71" t="str">
        <f aca="false">+IF(I6&gt;0,I6,"")</f>
        <v/>
      </c>
      <c r="C27" s="72" t="s">
        <v>11</v>
      </c>
      <c r="D27" s="47" t="str">
        <f aca="false">+IF(K6&gt;0,K6,"")</f>
        <v/>
      </c>
      <c r="E27" s="73" t="str">
        <f aca="false">+IF(L6&gt;0,L6,"")</f>
        <v/>
      </c>
      <c r="F27" s="47" t="str">
        <f aca="false">+IF(M6&gt;0,M6,"")</f>
        <v/>
      </c>
      <c r="G27" s="74"/>
      <c r="H27" s="75" t="e">
        <f aca="false">IF(L6=0,0,(($F$4/30)*(E27/$B$1*30)))</f>
        <v>#VALUE!</v>
      </c>
      <c r="I27" s="75" t="n">
        <f aca="false">IF(F27="ML35",(($F$5+$F$6)/(SUMIF($M$3:$M$10,"ML35",$L$3:$L$10))*E27),0)</f>
        <v>0</v>
      </c>
      <c r="J27" s="75" t="n">
        <f aca="false">K17</f>
        <v>0</v>
      </c>
      <c r="K27" s="76" t="e">
        <f aca="false">H27+I27-J27</f>
        <v>#VALUE!</v>
      </c>
      <c r="L27" s="77" t="e">
        <f aca="false">K27*$L$23</f>
        <v>#VALUE!</v>
      </c>
    </row>
    <row r="28" customFormat="false" ht="14.25" hidden="false" customHeight="true" outlineLevel="0" collapsed="false">
      <c r="A28" s="70" t="s">
        <v>10</v>
      </c>
      <c r="B28" s="71" t="str">
        <f aca="false">+IF(I7&gt;0,I7,"")</f>
        <v/>
      </c>
      <c r="C28" s="72" t="s">
        <v>11</v>
      </c>
      <c r="D28" s="47" t="str">
        <f aca="false">+IF(K7&gt;0,K7,"")</f>
        <v/>
      </c>
      <c r="E28" s="73" t="str">
        <f aca="false">+IF(L7&gt;0,L7,"")</f>
        <v/>
      </c>
      <c r="F28" s="47" t="str">
        <f aca="false">+IF(M7&gt;0,M7,"")</f>
        <v/>
      </c>
      <c r="G28" s="74"/>
      <c r="H28" s="75" t="e">
        <f aca="false">IF(L7=0,0,(($F$4/30)*(E28/$B$1*30)))</f>
        <v>#VALUE!</v>
      </c>
      <c r="I28" s="75" t="n">
        <f aca="false">IF(F28="ML35",(($F$5+$F$6)/(SUMIF($M$3:$M$10,"ML35",$L$3:$L$10))*E28),0)</f>
        <v>0</v>
      </c>
      <c r="J28" s="75" t="n">
        <f aca="false">K18</f>
        <v>0</v>
      </c>
      <c r="K28" s="76" t="e">
        <f aca="false">H28+I28-J28</f>
        <v>#VALUE!</v>
      </c>
      <c r="L28" s="77" t="e">
        <f aca="false">K28*$L$23</f>
        <v>#VALUE!</v>
      </c>
    </row>
    <row r="29" customFormat="false" ht="14.25" hidden="false" customHeight="true" outlineLevel="0" collapsed="false">
      <c r="A29" s="70" t="s">
        <v>10</v>
      </c>
      <c r="B29" s="71" t="str">
        <f aca="false">+IF(I8&gt;0,I8,"")</f>
        <v/>
      </c>
      <c r="C29" s="72" t="s">
        <v>11</v>
      </c>
      <c r="D29" s="47" t="str">
        <f aca="false">+IF(K8&gt;0,K8,"")</f>
        <v/>
      </c>
      <c r="E29" s="73" t="str">
        <f aca="false">+IF(L8&gt;0,L8,"")</f>
        <v/>
      </c>
      <c r="F29" s="47" t="str">
        <f aca="false">+IF(M8&gt;0,M8,"")</f>
        <v/>
      </c>
      <c r="G29" s="74"/>
      <c r="H29" s="75" t="e">
        <f aca="false">IF(L8=0,0,(($F$4/30)*(E29/$B$1*30)))</f>
        <v>#VALUE!</v>
      </c>
      <c r="I29" s="75" t="n">
        <f aca="false">IF(F29="ML35",(($F$5+$F$6)/(SUMIF($M$3:$M$10,"ML35",$L$3:$L$10))*E29),0)</f>
        <v>0</v>
      </c>
      <c r="J29" s="75" t="n">
        <f aca="false">K19</f>
        <v>0</v>
      </c>
      <c r="K29" s="76" t="e">
        <f aca="false">H29+I29-J29</f>
        <v>#VALUE!</v>
      </c>
      <c r="L29" s="77" t="e">
        <f aca="false">K29*$L$23</f>
        <v>#VALUE!</v>
      </c>
    </row>
    <row r="30" customFormat="false" ht="14.25" hidden="false" customHeight="true" outlineLevel="0" collapsed="false">
      <c r="A30" s="70" t="s">
        <v>10</v>
      </c>
      <c r="B30" s="71" t="str">
        <f aca="false">+IF(I9&gt;0,I9,"")</f>
        <v/>
      </c>
      <c r="C30" s="72" t="s">
        <v>11</v>
      </c>
      <c r="D30" s="47" t="str">
        <f aca="false">+IF(K9&gt;0,K9,"")</f>
        <v/>
      </c>
      <c r="E30" s="73" t="str">
        <f aca="false">+IF(L9&gt;0,L9,"")</f>
        <v/>
      </c>
      <c r="F30" s="47" t="str">
        <f aca="false">+IF(M9&gt;0,M9,"")</f>
        <v/>
      </c>
      <c r="G30" s="74"/>
      <c r="H30" s="75" t="e">
        <f aca="false">IF(L9=0,0,(($F$4/30)*(E30/$B$1*30)))</f>
        <v>#VALUE!</v>
      </c>
      <c r="I30" s="75" t="n">
        <f aca="false">IF(F30="ML35",(($F$5+$F$6)/(SUMIF($M$3:$M$10,"ML35",$L$3:$L$10))*E30),0)</f>
        <v>0</v>
      </c>
      <c r="J30" s="75" t="n">
        <f aca="false">K20</f>
        <v>0</v>
      </c>
      <c r="K30" s="76" t="e">
        <f aca="false">H30+I30-J30</f>
        <v>#VALUE!</v>
      </c>
      <c r="L30" s="77" t="e">
        <f aca="false">K30*$L$23</f>
        <v>#VALUE!</v>
      </c>
    </row>
    <row r="31" customFormat="false" ht="14.25" hidden="false" customHeight="true" outlineLevel="0" collapsed="false">
      <c r="A31" s="70" t="s">
        <v>10</v>
      </c>
      <c r="B31" s="71" t="str">
        <f aca="false">+IF(I10&gt;0,I10,"")</f>
        <v/>
      </c>
      <c r="C31" s="72" t="s">
        <v>11</v>
      </c>
      <c r="D31" s="47" t="str">
        <f aca="false">+IF(K10&gt;0,K10,"")</f>
        <v/>
      </c>
      <c r="E31" s="73" t="str">
        <f aca="false">+IF(L10&gt;0,L10,"")</f>
        <v/>
      </c>
      <c r="F31" s="47" t="str">
        <f aca="false">+IF(M10&gt;0,M10,"")</f>
        <v/>
      </c>
      <c r="G31" s="74"/>
      <c r="H31" s="75" t="e">
        <f aca="false">IF(L10=0,0,(($F$4/30)*(E31/$B$1*30)))</f>
        <v>#VALUE!</v>
      </c>
      <c r="I31" s="75" t="n">
        <f aca="false">IF(F31="ML35",(($F$5+$F$6)/(SUMIF($M$3:$M$10,"ML35",$L$3:$L$10))*E31),0)</f>
        <v>0</v>
      </c>
      <c r="J31" s="75" t="n">
        <f aca="false">K21</f>
        <v>0</v>
      </c>
      <c r="K31" s="76" t="e">
        <f aca="false">H31+I31-J31</f>
        <v>#VALUE!</v>
      </c>
      <c r="L31" s="77" t="e">
        <f aca="false">K31*$L$23</f>
        <v>#VALUE!</v>
      </c>
    </row>
    <row r="32" customFormat="false" ht="15" hidden="false" customHeight="true" outlineLevel="0" collapsed="false">
      <c r="A32" s="80"/>
      <c r="B32" s="81"/>
      <c r="C32" s="81"/>
      <c r="D32" s="82"/>
      <c r="E32" s="82"/>
      <c r="F32" s="83"/>
      <c r="G32" s="84"/>
      <c r="H32" s="84"/>
      <c r="I32" s="85"/>
      <c r="J32" s="84"/>
      <c r="K32" s="86"/>
      <c r="L32" s="87"/>
    </row>
    <row r="33" customFormat="false" ht="13.5" hidden="false" customHeight="true" outlineLevel="0" collapsed="false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0"/>
    </row>
    <row r="34" customFormat="false" ht="13.5" hidden="false" customHeight="true" outlineLevel="0" collapsed="false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30"/>
    </row>
    <row r="35" customFormat="false" ht="13.5" hidden="false" customHeight="true" outlineLevel="0" collapsed="false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</row>
  </sheetData>
  <mergeCells count="10">
    <mergeCell ref="B2:C2"/>
    <mergeCell ref="H2:K2"/>
    <mergeCell ref="B3:C3"/>
    <mergeCell ref="B4:C4"/>
    <mergeCell ref="B5:C5"/>
    <mergeCell ref="B6:C6"/>
    <mergeCell ref="B7:C7"/>
    <mergeCell ref="B8:C8"/>
    <mergeCell ref="B10:C10"/>
    <mergeCell ref="H13:K13"/>
  </mergeCells>
  <dataValidations count="2">
    <dataValidation allowBlank="true" error="Merci de choisir un motif existant" errorStyle="stop" errorTitle="Motif non connu" operator="between" prompt="Sélectionner le motif" promptTitle="MOTIFS" showDropDown="false" showErrorMessage="true" showInputMessage="true" sqref="M3:M10" type="list">
      <formula1>$Q$2:$Q$6</formula1>
      <formula2>0</formula2>
    </dataValidation>
    <dataValidation allowBlank="true" error="Merci de choisir un motif existant" errorStyle="stop" errorTitle="Motif non connu" operator="between" prompt="Sélectionner le motif" promptTitle="MOTIFS" showDropDown="false" showErrorMessage="true" showInputMessage="true" sqref="Q1" type="list">
      <formula1>$Q$2:$Q$3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D23"/>
    <pageSetUpPr fitToPage="true"/>
  </sheetPr>
  <dimension ref="A1:S8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4453125" defaultRowHeight="14.25" zeroHeight="false" outlineLevelRow="0" outlineLevelCol="0"/>
  <cols>
    <col collapsed="false" customWidth="true" hidden="false" outlineLevel="0" max="1" min="1" style="90" width="19.33"/>
    <col collapsed="false" customWidth="true" hidden="false" outlineLevel="0" max="2" min="2" style="90" width="22.34"/>
    <col collapsed="false" customWidth="true" hidden="false" outlineLevel="0" max="3" min="3" style="90" width="14.66"/>
    <col collapsed="false" customWidth="true" hidden="false" outlineLevel="0" max="4" min="4" style="90" width="18.11"/>
    <col collapsed="false" customWidth="true" hidden="false" outlineLevel="0" max="5" min="5" style="90" width="12.66"/>
    <col collapsed="false" customWidth="true" hidden="false" outlineLevel="0" max="6" min="6" style="90" width="15.11"/>
    <col collapsed="false" customWidth="true" hidden="false" outlineLevel="0" max="7" min="7" style="90" width="13.33"/>
    <col collapsed="false" customWidth="true" hidden="false" outlineLevel="0" max="8" min="8" style="90" width="22.67"/>
    <col collapsed="false" customWidth="true" hidden="false" outlineLevel="0" max="9" min="9" style="90" width="18"/>
    <col collapsed="false" customWidth="true" hidden="false" outlineLevel="0" max="10" min="10" style="90" width="16.33"/>
    <col collapsed="false" customWidth="true" hidden="false" outlineLevel="0" max="13" min="13" style="90" width="15.33"/>
    <col collapsed="false" customWidth="false" hidden="true" outlineLevel="0" max="14" min="14" style="90" width="11.44"/>
    <col collapsed="false" customWidth="true" hidden="true" outlineLevel="0" max="15" min="15" style="90" width="15"/>
    <col collapsed="false" customWidth="true" hidden="true" outlineLevel="0" max="16" min="16" style="90" width="10.89"/>
    <col collapsed="false" customWidth="false" hidden="true" outlineLevel="0" max="18" min="17" style="90" width="11.44"/>
  </cols>
  <sheetData>
    <row r="1" customFormat="false" ht="14.25" hidden="false" customHeight="true" outlineLevel="0" collapsed="false">
      <c r="A1" s="91" t="s">
        <v>35</v>
      </c>
      <c r="B1" s="92"/>
      <c r="E1" s="93" t="s">
        <v>36</v>
      </c>
      <c r="F1" s="94" t="n">
        <v>46174</v>
      </c>
      <c r="Q1" s="95" t="s">
        <v>37</v>
      </c>
      <c r="R1" s="90" t="s">
        <v>38</v>
      </c>
    </row>
    <row r="2" customFormat="false" ht="14.25" hidden="false" customHeight="true" outlineLevel="0" collapsed="false">
      <c r="A2" s="91" t="s">
        <v>39</v>
      </c>
      <c r="B2" s="96"/>
      <c r="E2" s="93" t="s">
        <v>40</v>
      </c>
      <c r="F2" s="97" t="n">
        <v>30</v>
      </c>
      <c r="Q2" s="95" t="s">
        <v>41</v>
      </c>
      <c r="R2" s="90" t="s">
        <v>42</v>
      </c>
    </row>
    <row r="3" customFormat="false" ht="15" hidden="false" customHeight="true" outlineLevel="0" collapsed="false">
      <c r="A3" s="91" t="s">
        <v>43</v>
      </c>
      <c r="B3" s="98"/>
      <c r="E3" s="93"/>
      <c r="F3" s="91"/>
      <c r="Q3" s="95"/>
      <c r="R3" s="90" t="s">
        <v>44</v>
      </c>
    </row>
    <row r="4" customFormat="false" ht="15" hidden="false" customHeight="true" outlineLevel="0" collapsed="false">
      <c r="A4" s="91" t="s">
        <v>45</v>
      </c>
      <c r="B4" s="98"/>
      <c r="D4" s="99" t="s">
        <v>46</v>
      </c>
      <c r="E4" s="99"/>
      <c r="F4" s="100" t="n">
        <f aca="false">($B$15*B8)+$E$15+$E$16-O6-O7-O8-O9-O10-O11-O12-O13-O14-O15+I23</f>
        <v>0</v>
      </c>
      <c r="H4" s="101"/>
      <c r="I4" s="102" t="s">
        <v>47</v>
      </c>
      <c r="J4" s="103"/>
      <c r="K4" s="104"/>
      <c r="R4" s="90" t="s">
        <v>48</v>
      </c>
    </row>
    <row r="5" customFormat="false" ht="14.25" hidden="false" customHeight="true" outlineLevel="0" collapsed="false">
      <c r="A5" s="91" t="s">
        <v>17</v>
      </c>
      <c r="B5" s="98"/>
      <c r="E5" s="93"/>
      <c r="F5" s="91"/>
      <c r="H5" s="105" t="s">
        <v>49</v>
      </c>
      <c r="I5" s="106" t="s">
        <v>50</v>
      </c>
      <c r="J5" s="107" t="s">
        <v>51</v>
      </c>
      <c r="K5" s="106" t="s">
        <v>52</v>
      </c>
      <c r="N5" s="108" t="s">
        <v>53</v>
      </c>
      <c r="O5" s="108"/>
      <c r="Q5" s="95"/>
      <c r="R5" s="90" t="s">
        <v>54</v>
      </c>
    </row>
    <row r="6" customFormat="false" ht="14.25" hidden="false" customHeight="true" outlineLevel="0" collapsed="false">
      <c r="A6" s="91" t="s">
        <v>21</v>
      </c>
      <c r="B6" s="109"/>
      <c r="E6" s="93"/>
      <c r="F6" s="91"/>
      <c r="H6" s="110" t="s">
        <v>55</v>
      </c>
      <c r="I6" s="111" t="e">
        <f aca="false">IF($E$15&lt;0,"",$E$15*(E21/($E$21+$E$26+$E$31+$E$36+$E$41+$E$46+$E$51+$E$56+$E$61+$E$66)))</f>
        <v>#DIV/0!</v>
      </c>
      <c r="J6" s="111" t="e">
        <f aca="false">IF($E$16&lt;0,"",$E$16*(E21/($E$21+$E$26+$E$31+$E$36+$E$41+$E$46+$E$51+$E$56+$E$61+$E$66)))</f>
        <v>#DIV/0!</v>
      </c>
      <c r="K6" s="112" t="e">
        <f aca="false">IF($I$18&lt;0,"",$I$18*(E21/($E$21+$E$26+$E$31+$E$36+$E$41+$E$46+$E$51+$E$56+$E$61+$E$66)))</f>
        <v>#DIV/0!</v>
      </c>
      <c r="N6" s="108" t="s">
        <v>55</v>
      </c>
      <c r="O6" s="113" t="n">
        <f aca="false">IF(A22="Abs sans solde",($B$15*((C22-B22+1)*30)/$F$2)/30,0)</f>
        <v>0</v>
      </c>
      <c r="Q6" s="95"/>
    </row>
    <row r="7" customFormat="false" ht="14.25" hidden="false" customHeight="true" outlineLevel="0" collapsed="false">
      <c r="H7" s="114" t="s">
        <v>56</v>
      </c>
      <c r="I7" s="115" t="e">
        <f aca="false">IF($E$15&lt;0,"",$E$15*(E26/($E$21+$E$26+$E$31+$E$36+$E$41+$E$46+$E$51+$E$56+$E$61+$E$66)))</f>
        <v>#DIV/0!</v>
      </c>
      <c r="J7" s="115" t="e">
        <f aca="false">IF($E$16&lt;0,"",$E$16*(E26/($E$21+$E$26+$E$31+$E$36+$E$41+$E$46+$E$51+$E$56+$E$61+$E$66)))</f>
        <v>#DIV/0!</v>
      </c>
      <c r="K7" s="116" t="e">
        <f aca="false">IF($I$18&lt;0,"",$I$18*(E26/($E$21+$E$26+$E$31+$E$36+$E$41+$E$46+$E$51+$E$56+$E$61+$E$66)))</f>
        <v>#DIV/0!</v>
      </c>
      <c r="N7" s="108" t="s">
        <v>56</v>
      </c>
      <c r="O7" s="113" t="n">
        <f aca="false">IF(A27="Abs sans solde",($B$15*((C27-B27+1)*30)/$F$2)/30,0)</f>
        <v>0</v>
      </c>
    </row>
    <row r="8" customFormat="false" ht="14.25" hidden="false" customHeight="true" outlineLevel="0" collapsed="false">
      <c r="A8" s="117" t="s">
        <v>57</v>
      </c>
      <c r="B8" s="118" t="n">
        <v>1</v>
      </c>
      <c r="C8" s="119" t="s">
        <v>58</v>
      </c>
      <c r="D8" s="120" t="n">
        <v>0.4</v>
      </c>
      <c r="F8" s="91"/>
      <c r="H8" s="114" t="s">
        <v>59</v>
      </c>
      <c r="I8" s="115" t="e">
        <f aca="false">IF($E$15&lt;0,"",$E$15*(E31/($E$21+$E$26+$E$31+$E$36+$E$41+$E$46+$E$51+$E$56+$E$61+$E$66)))</f>
        <v>#DIV/0!</v>
      </c>
      <c r="J8" s="115" t="e">
        <f aca="false">IF($E$16&lt;0,"",$E$16*(E31/($E$21+$E$26+$E$31+$E$36+$E$41+$E$46+$E$51+$E$56+$E$61+$E$66)))</f>
        <v>#DIV/0!</v>
      </c>
      <c r="K8" s="116" t="e">
        <f aca="false">IF($I$18&lt;0,"",$I$18*(E31/($E$21+$E$26+$E$31+$E$36+$E$41+$E$46+$E$51+$E$56+$E$61+$E$66)))</f>
        <v>#DIV/0!</v>
      </c>
      <c r="N8" s="108" t="s">
        <v>59</v>
      </c>
      <c r="O8" s="113" t="n">
        <f aca="false">IF(A32="Abs sans solde",($B$15*((C32-B32+1)*30)/$F$2)/30,0)</f>
        <v>0</v>
      </c>
    </row>
    <row r="9" customFormat="false" ht="14.25" hidden="false" customHeight="true" outlineLevel="0" collapsed="false">
      <c r="H9" s="114" t="s">
        <v>60</v>
      </c>
      <c r="I9" s="115" t="e">
        <f aca="false">IF($E$15&lt;0,"",$E$15*(E36/($E$21+$E$26+$E$31+$E$36+$E$41+$E$46+$E$51+$E$56+$E$61+$E$66)))</f>
        <v>#DIV/0!</v>
      </c>
      <c r="J9" s="115" t="e">
        <f aca="false">IF($E$16&lt;0,"",$E$16*(E36/($E$21+$E$26+$E$31+$E$36+$E$41+$E$46+$E$51+$E$56+$E$61+$E$66)))</f>
        <v>#DIV/0!</v>
      </c>
      <c r="K9" s="116" t="e">
        <f aca="false">IF($I$18&lt;0,"",$I$18*(E36/($E$21+$E$26+$E$31+$E$36+$E$41+$E$46+$E$51+$E$56+$E$61+$E$66)))</f>
        <v>#DIV/0!</v>
      </c>
      <c r="N9" s="108" t="s">
        <v>60</v>
      </c>
      <c r="O9" s="113" t="n">
        <f aca="false">IF(A37="Abs sans solde",($B$15*((C37-B37+1)*30)/$F$2)/30,0)</f>
        <v>0</v>
      </c>
    </row>
    <row r="10" customFormat="false" ht="14.25" hidden="false" customHeight="true" outlineLevel="0" collapsed="false">
      <c r="A10" s="90" t="s">
        <v>61</v>
      </c>
      <c r="B10" s="121"/>
      <c r="D10" s="90" t="s">
        <v>62</v>
      </c>
      <c r="E10" s="121"/>
      <c r="H10" s="114" t="s">
        <v>63</v>
      </c>
      <c r="I10" s="115" t="e">
        <f aca="false">IF($E$15&lt;0,"",$E$15*(E41/($E$21+$E$26+$E$31+$E$36+$E$41+$E$46+$E$51+$E$56+$E$61+$E$66)))</f>
        <v>#DIV/0!</v>
      </c>
      <c r="J10" s="115" t="e">
        <f aca="false">IF($E$16&lt;0,"",$E$16*(E41/($E$21+$E$26+$E$31+$E$36+$E$41+$E$46+$E$51+$E$56+$E$61+$E$66)))</f>
        <v>#DIV/0!</v>
      </c>
      <c r="K10" s="116" t="e">
        <f aca="false">IF($I$18&lt;0,"",$I$18*(E41/($E$21+$E$26+$E$31+$E$36+$E$41+$E$46+$E$51+$E$56+$E$61+$E$66)))</f>
        <v>#DIV/0!</v>
      </c>
      <c r="N10" s="108" t="s">
        <v>63</v>
      </c>
      <c r="O10" s="113" t="n">
        <f aca="false">IF(A42="Abs sans solde",($B$15*((C42-B42+1)*30)/$F$2)/30,0)</f>
        <v>0</v>
      </c>
    </row>
    <row r="11" customFormat="false" ht="14.25" hidden="false" customHeight="true" outlineLevel="0" collapsed="false">
      <c r="A11" s="90" t="s">
        <v>64</v>
      </c>
      <c r="B11" s="121"/>
      <c r="D11" s="122" t="s">
        <v>65</v>
      </c>
      <c r="E11" s="121"/>
      <c r="H11" s="114" t="s">
        <v>66</v>
      </c>
      <c r="I11" s="115" t="e">
        <f aca="false">IF($E$15&lt;0,"",$E$15*(E46/($E$21+$E$26+$E$31+$E$36+$E$41+$E$46+$E$51+$E$56+$E$61+$E$66)))</f>
        <v>#DIV/0!</v>
      </c>
      <c r="J11" s="115" t="e">
        <f aca="false">IF($E$16&lt;0,"",$E$16*(E46/($E$21+$E$26+$E$31+$E$36+$E$41+$E$46+$E$51+$E$56+$E$61+$E$66)))</f>
        <v>#DIV/0!</v>
      </c>
      <c r="K11" s="116" t="e">
        <f aca="false">IF($I$18&lt;0,"",$I$18*(E46/($E$21+$E$26+$E$31+$E$36+$E$41+$E$46+$E$51+$E$56+$E$61+$E$66)))</f>
        <v>#DIV/0!</v>
      </c>
      <c r="N11" s="108" t="s">
        <v>66</v>
      </c>
      <c r="O11" s="113" t="n">
        <f aca="false">IF(A47="Abs sans solde",($B$15*((C47-B47+1)*30)/$F$2)/30,0)</f>
        <v>0</v>
      </c>
    </row>
    <row r="12" customFormat="false" ht="14.25" hidden="false" customHeight="true" outlineLevel="0" collapsed="false">
      <c r="B12" s="121"/>
      <c r="D12" s="122"/>
      <c r="E12" s="121"/>
      <c r="H12" s="114" t="s">
        <v>67</v>
      </c>
      <c r="I12" s="115" t="e">
        <f aca="false">IF($E$15&lt;0,"",$E$15*(E51/($E$21+$E$26+$E$31+$E$36+$E$41+$E$46+$E$51+$E$56+$E$61+$E$66)))</f>
        <v>#DIV/0!</v>
      </c>
      <c r="J12" s="115" t="e">
        <f aca="false">IF($E$16&lt;0,"",$E$16*(E51/($E$21+$E$26+$E$31+$E$36+$E$41+$E$46+$E$51+$E$56+$E$61+$E$66)))</f>
        <v>#DIV/0!</v>
      </c>
      <c r="K12" s="116" t="e">
        <f aca="false">IF($I$18&lt;0,"",$I$18*(E51/($E$21+$E$26+$E$31+$E$36+$E$41+$E$46+$E$51+$E$56+$E$61+$E$66)))</f>
        <v>#DIV/0!</v>
      </c>
      <c r="N12" s="108" t="s">
        <v>67</v>
      </c>
      <c r="O12" s="113" t="n">
        <f aca="false">IF(A52="Abs sans solde",($B$15*((C52-B52+1)*30)/$F$2)/30,0)</f>
        <v>0</v>
      </c>
    </row>
    <row r="13" customFormat="false" ht="14.25" hidden="false" customHeight="true" outlineLevel="0" collapsed="false">
      <c r="B13" s="121"/>
      <c r="D13" s="122"/>
      <c r="E13" s="121"/>
      <c r="H13" s="114" t="s">
        <v>68</v>
      </c>
      <c r="I13" s="115" t="e">
        <f aca="false">IF($E$15&lt;0,"",$E$15*(E56/($E$21+$E$26+$E$31+$E$36+$E$41+$E$46+$E$51+$E$56+$E$61+$E$66)))</f>
        <v>#DIV/0!</v>
      </c>
      <c r="J13" s="115" t="e">
        <f aca="false">IF($E$16&lt;0,"",$E$16*(E56/($E$21+$E$26+$E$31+$E$36+$E$41+$E$46+$E$51+$E$56+$E$61+$E$66)))</f>
        <v>#DIV/0!</v>
      </c>
      <c r="K13" s="116" t="e">
        <f aca="false">IF($I$18&lt;0,"",$I$18*(E56/($E$21+$E$26+$E$31+$E$36+$E$41+$E$46+$E$51+$E$56+$E$61+$E$66)))</f>
        <v>#DIV/0!</v>
      </c>
      <c r="N13" s="108" t="s">
        <v>68</v>
      </c>
      <c r="O13" s="113" t="n">
        <f aca="false">IF(A57="Abs sans solde",($B$15*((C57-B57+1)*30)/$F$2)/30,0)</f>
        <v>0</v>
      </c>
    </row>
    <row r="14" customFormat="false" ht="15" hidden="false" customHeight="true" outlineLevel="0" collapsed="false">
      <c r="B14" s="123"/>
      <c r="D14" s="122"/>
      <c r="E14" s="123"/>
      <c r="H14" s="114" t="s">
        <v>69</v>
      </c>
      <c r="I14" s="115" t="e">
        <f aca="false">IF($E$15&lt;0,"",$E$15*(E61/($E$21+$E$26+$E$31+$E$36+$E$41+$E$46+$E$51+$E$56+$E$61+$E$66)))</f>
        <v>#DIV/0!</v>
      </c>
      <c r="J14" s="115" t="e">
        <f aca="false">IF($E$16&lt;0,"",$E$16*(E61/($E$21+$E$26+$E$31+$E$36+$E$41+$E$46+$E$51+$E$56+$E$61+$E$66)))</f>
        <v>#DIV/0!</v>
      </c>
      <c r="K14" s="116" t="e">
        <f aca="false">IF($I$18&lt;0,"",$I$18*(E61/($E$21+$E$26+$E$31+$E$36+$E$41+$E$46+$E$51+$E$56+$E$61+$E$66)))</f>
        <v>#DIV/0!</v>
      </c>
      <c r="N14" s="108" t="s">
        <v>69</v>
      </c>
      <c r="O14" s="113" t="n">
        <f aca="false">IF(A62="Abs sans solde",($B$15*((C62-B62+1)*30)/$F$2)/30,0)</f>
        <v>0</v>
      </c>
    </row>
    <row r="15" customFormat="false" ht="14.25" hidden="false" customHeight="true" outlineLevel="0" collapsed="false">
      <c r="B15" s="124" t="n">
        <f aca="false">SUM(B10:B14)</f>
        <v>0</v>
      </c>
      <c r="E15" s="124" t="n">
        <f aca="false">SUM(E10:E14)</f>
        <v>0</v>
      </c>
      <c r="H15" s="125" t="s">
        <v>70</v>
      </c>
      <c r="I15" s="126" t="e">
        <f aca="false">IF($E$15&lt;0,"",$E$15*(E66/($E$21+$E$26+$E$31+$E$36+$E$41+$E$46+$E$51+$E$56+$E$61+$E$66)))</f>
        <v>#DIV/0!</v>
      </c>
      <c r="J15" s="126" t="e">
        <f aca="false">IF($E$16&lt;0,"",$E$16*(E66/($E$21+$E$26+$E$31+$E$36+$E$41+$E$46+$E$51+$E$56+$E$61+$E$66)))</f>
        <v>#DIV/0!</v>
      </c>
      <c r="K15" s="127" t="e">
        <f aca="false">IF($I$18&lt;0,"",$I$18*(E66/($E$21+$E$26+$E$31+$E$36+$E$41+$E$46+$E$51+$E$56+$E$61+$E$66)))</f>
        <v>#DIV/0!</v>
      </c>
      <c r="N15" s="108" t="s">
        <v>70</v>
      </c>
      <c r="O15" s="113" t="n">
        <f aca="false">IF(A67="Abs sans solde",($B$15*((C67-B67+1)*30)/$F$2)/30,0)</f>
        <v>0</v>
      </c>
    </row>
    <row r="16" customFormat="false" ht="14.25" hidden="false" customHeight="true" outlineLevel="0" collapsed="false">
      <c r="D16" s="90" t="s">
        <v>71</v>
      </c>
      <c r="E16" s="128"/>
      <c r="G16" s="129"/>
    </row>
    <row r="17" customFormat="false" ht="14.25" hidden="false" customHeight="true" outlineLevel="0" collapsed="false">
      <c r="C17" s="124"/>
      <c r="H17" s="130" t="s">
        <v>72</v>
      </c>
      <c r="I17" s="131"/>
    </row>
    <row r="18" customFormat="false" ht="14.25" hidden="false" customHeight="true" outlineLevel="0" collapsed="false">
      <c r="C18" s="124"/>
      <c r="H18" s="132" t="s">
        <v>73</v>
      </c>
      <c r="I18" s="133" t="n">
        <f aca="false">+I17*0.245</f>
        <v>0</v>
      </c>
    </row>
    <row r="19" customFormat="false" ht="15" hidden="false" customHeight="true" outlineLevel="0" collapsed="false"/>
    <row r="20" s="137" customFormat="true" ht="15" hidden="false" customHeight="true" outlineLevel="0" collapsed="false">
      <c r="A20" s="134" t="s">
        <v>38</v>
      </c>
      <c r="B20" s="135" t="s">
        <v>74</v>
      </c>
      <c r="C20" s="135" t="s">
        <v>75</v>
      </c>
      <c r="D20" s="135" t="s">
        <v>76</v>
      </c>
      <c r="E20" s="135" t="s">
        <v>77</v>
      </c>
      <c r="F20" s="136" t="s">
        <v>78</v>
      </c>
    </row>
    <row r="21" customFormat="false" ht="14.25" hidden="false" customHeight="true" outlineLevel="0" collapsed="false">
      <c r="A21" s="138"/>
      <c r="B21" s="139"/>
      <c r="C21" s="139"/>
      <c r="D21" s="90" t="n">
        <f aca="false">IF(B21="",0,(C21-B21+1))</f>
        <v>0</v>
      </c>
      <c r="E21" s="140" t="n">
        <f aca="false">IF(D21=0,0,IF(OR($F$2=30,$F$2=D21),D21*30/$F$2,(D21*30/$F$2)+0.0005))</f>
        <v>0</v>
      </c>
      <c r="F21" s="141"/>
    </row>
    <row r="22" customFormat="false" ht="15" hidden="false" customHeight="true" outlineLevel="0" collapsed="false">
      <c r="A22" s="142"/>
      <c r="B22" s="143"/>
      <c r="C22" s="143"/>
      <c r="E22" s="140"/>
      <c r="F22" s="144"/>
    </row>
    <row r="23" customFormat="false" ht="14.25" hidden="false" customHeight="true" outlineLevel="0" collapsed="false">
      <c r="A23" s="145" t="s">
        <v>79</v>
      </c>
      <c r="B23" s="124" t="n">
        <f aca="false">IF(A21="Abs (Mal, CA, autres)",0,($B$15*$B$8*E21)/30)</f>
        <v>0</v>
      </c>
      <c r="C23" s="124"/>
      <c r="D23" s="146" t="e">
        <f aca="false">IF(A21="Abs (Mal, CA, autres)",0,B23+$I$6+$J$6+F23)</f>
        <v>#DIV/0!</v>
      </c>
      <c r="F23" s="147" t="e">
        <f aca="false">IF($I$23&lt;0,"",$I$23*(E21/($E$21+$E$26+$E$31+$E$36+$E$41+$E$46+$E$51+$E$56+$E$61+$E$66)))</f>
        <v>#DIV/0!</v>
      </c>
      <c r="H23" s="148" t="s">
        <v>80</v>
      </c>
      <c r="I23" s="149"/>
    </row>
    <row r="24" customFormat="false" ht="14.25" hidden="false" customHeight="true" outlineLevel="0" collapsed="false">
      <c r="A24" s="150" t="s">
        <v>81</v>
      </c>
      <c r="B24" s="124" t="n">
        <f aca="false">IF(A21="Abs (Mal, CA, autres)",0,(($B$15*E21)/30)*$D$8)</f>
        <v>0</v>
      </c>
      <c r="C24" s="124"/>
      <c r="D24" s="151" t="e">
        <f aca="false">IF(A21="Abs (Mal, CA, autres)",0,(B24+I6+J6+F24+K6))</f>
        <v>#DIV/0!</v>
      </c>
      <c r="F24" s="152" t="e">
        <f aca="false">IF($I$24&lt;0,"",$I$24*(E21/($E$21+$E$26+$E$31+$E$36+$E$41+$E$46+$E$51+$E$56+$E$61+$E$66)))</f>
        <v>#DIV/0!</v>
      </c>
      <c r="H24" s="153" t="s">
        <v>82</v>
      </c>
      <c r="I24" s="154"/>
    </row>
    <row r="25" customFormat="false" ht="15" hidden="false" customHeight="true" outlineLevel="0" collapsed="false">
      <c r="A25" s="155" t="s">
        <v>22</v>
      </c>
      <c r="B25" s="156"/>
      <c r="C25" s="156"/>
      <c r="D25" s="157" t="e">
        <f aca="false">D23-D24</f>
        <v>#DIV/0!</v>
      </c>
      <c r="E25" s="158"/>
      <c r="F25" s="159"/>
      <c r="H25" s="160" t="s">
        <v>83</v>
      </c>
      <c r="I25" s="161" t="n">
        <f aca="false">I23-I24</f>
        <v>0</v>
      </c>
    </row>
    <row r="26" customFormat="false" ht="14.25" hidden="false" customHeight="true" outlineLevel="0" collapsed="false">
      <c r="A26" s="162"/>
      <c r="B26" s="163"/>
      <c r="C26" s="163"/>
      <c r="D26" s="164" t="n">
        <f aca="false">IF(B26="",0,(C26-B26+1))</f>
        <v>0</v>
      </c>
      <c r="E26" s="140" t="n">
        <f aca="false">IF(D26=0,0,IF(OR($F$2=30,$F$2=D26),D26*30/$F$2,(D26*30/$F$2)+0.0005))</f>
        <v>0</v>
      </c>
      <c r="F26" s="141"/>
      <c r="H26" s="137"/>
      <c r="I26" s="137"/>
    </row>
    <row r="27" customFormat="false" ht="14.25" hidden="false" customHeight="true" outlineLevel="0" collapsed="false">
      <c r="A27" s="142"/>
      <c r="B27" s="143"/>
      <c r="C27" s="143"/>
      <c r="E27" s="165"/>
      <c r="F27" s="166"/>
    </row>
    <row r="28" customFormat="false" ht="14.25" hidden="false" customHeight="true" outlineLevel="0" collapsed="false">
      <c r="A28" s="145" t="s">
        <v>79</v>
      </c>
      <c r="B28" s="124" t="n">
        <f aca="false">IF(A26="Abs (Mal, CA, autres)",0,($B$15*$B$8*E26)/30)</f>
        <v>0</v>
      </c>
      <c r="C28" s="124"/>
      <c r="D28" s="146" t="e">
        <f aca="false">IF(A26="Abs (Mal, CA, autres)",0,B28+$I$7+$J$7+F28)</f>
        <v>#DIV/0!</v>
      </c>
      <c r="F28" s="147" t="e">
        <f aca="false">IF($I$23&lt;0,"",$I$23*(E26/($E$21+$E$26+$E$31+$E$36+$E$41+$E$46+$E$51+$E$56+$E$61+$E$66)))</f>
        <v>#DIV/0!</v>
      </c>
      <c r="I28" s="146"/>
      <c r="K28" s="146"/>
    </row>
    <row r="29" customFormat="false" ht="14.25" hidden="false" customHeight="true" outlineLevel="0" collapsed="false">
      <c r="A29" s="150" t="s">
        <v>81</v>
      </c>
      <c r="B29" s="124" t="n">
        <f aca="false">IF(A26="Abs (Mal, CA, autres)",0,(($B$15*E26)/30)*$D$8)</f>
        <v>0</v>
      </c>
      <c r="C29" s="124"/>
      <c r="D29" s="151" t="e">
        <f aca="false">IF(A26="Abs (Mal, CA, autres)",0,(B29+$I$7+J7+F29+K7))</f>
        <v>#DIV/0!</v>
      </c>
      <c r="F29" s="152" t="e">
        <f aca="false">IF($I$24&lt;0,"",$I$24*(E26/($E$21+$E$26+$E$31+$E$36+$E$41+$E$46+$E$51+$E$56+$E$61+$E$66)))</f>
        <v>#DIV/0!</v>
      </c>
    </row>
    <row r="30" customFormat="false" ht="15" hidden="false" customHeight="true" outlineLevel="0" collapsed="false">
      <c r="A30" s="167" t="s">
        <v>22</v>
      </c>
      <c r="B30" s="156"/>
      <c r="C30" s="156"/>
      <c r="D30" s="157" t="e">
        <f aca="false">D28-D29</f>
        <v>#DIV/0!</v>
      </c>
      <c r="E30" s="158"/>
      <c r="F30" s="159"/>
    </row>
    <row r="31" customFormat="false" ht="14.25" hidden="false" customHeight="true" outlineLevel="0" collapsed="false">
      <c r="A31" s="162"/>
      <c r="B31" s="163"/>
      <c r="C31" s="163"/>
      <c r="D31" s="164" t="n">
        <f aca="false">IF(B31="",0,(C31-B31+1))</f>
        <v>0</v>
      </c>
      <c r="E31" s="140" t="n">
        <f aca="false">IF(D31=0,0,IF(OR($F$2=30,$F$2=D31),D31*30/$F$2,(D31*30/$F$2)+0.0005))</f>
        <v>0</v>
      </c>
      <c r="F31" s="141"/>
      <c r="H31" s="153" t="s">
        <v>84</v>
      </c>
      <c r="I31" s="168"/>
      <c r="J31" s="169"/>
      <c r="M31" s="170"/>
      <c r="N31" s="170"/>
      <c r="O31" s="170"/>
      <c r="P31" s="170"/>
      <c r="Q31" s="170"/>
      <c r="R31" s="170"/>
      <c r="S31" s="170"/>
    </row>
    <row r="32" customFormat="false" ht="14.25" hidden="false" customHeight="true" outlineLevel="0" collapsed="false">
      <c r="A32" s="142"/>
      <c r="B32" s="143"/>
      <c r="C32" s="143"/>
      <c r="E32" s="165"/>
      <c r="F32" s="166"/>
    </row>
    <row r="33" customFormat="false" ht="14.25" hidden="false" customHeight="true" outlineLevel="0" collapsed="false">
      <c r="A33" s="145" t="s">
        <v>79</v>
      </c>
      <c r="B33" s="124" t="n">
        <f aca="false">IF(A31="Abs (Mal, CA, autres)",0,($B$15*$B$8*E31)/30)</f>
        <v>0</v>
      </c>
      <c r="C33" s="124"/>
      <c r="D33" s="146" t="e">
        <f aca="false">IF(A31="Abs (Mal, CA, autres)",0,B33+$I$8+$J$8+F33)</f>
        <v>#DIV/0!</v>
      </c>
      <c r="E33" s="165"/>
      <c r="F33" s="147" t="e">
        <f aca="false">IF($I$23&lt;0,"",$I$23*(E31/($E$21+$E$26+$E$31+$E$36+$E$41+$E$46+$E$51+$E$56+$E$61+$E$66)))</f>
        <v>#DIV/0!</v>
      </c>
      <c r="H33" s="170"/>
    </row>
    <row r="34" customFormat="false" ht="14.25" hidden="false" customHeight="true" outlineLevel="0" collapsed="false">
      <c r="A34" s="150" t="s">
        <v>81</v>
      </c>
      <c r="B34" s="124" t="n">
        <f aca="false">IF(A31="Abs (Mal, CA, autres)",0,(($B$15*E31)/30)*$D$8)</f>
        <v>0</v>
      </c>
      <c r="C34" s="124"/>
      <c r="D34" s="151" t="e">
        <f aca="false">IF(A31="Abs (Mal, CA, autres)",0,(B34+$I$8+J8+F34+K8))</f>
        <v>#DIV/0!</v>
      </c>
      <c r="E34" s="165"/>
      <c r="F34" s="152" t="e">
        <f aca="false">IF($I$24&lt;0,"",$I$24*(E31/($E$21+$E$26+$E$31+$E$36+$E$41+$E$46+$E$51+$E$56+$E$61+$E$66)))</f>
        <v>#DIV/0!</v>
      </c>
      <c r="H34" s="170"/>
      <c r="I34" s="170"/>
      <c r="J34" s="170"/>
      <c r="K34" s="170"/>
      <c r="L34" s="170"/>
      <c r="M34" s="170"/>
      <c r="N34" s="170"/>
    </row>
    <row r="35" customFormat="false" ht="15" hidden="false" customHeight="true" outlineLevel="0" collapsed="false">
      <c r="A35" s="155" t="s">
        <v>22</v>
      </c>
      <c r="B35" s="157"/>
      <c r="C35" s="157"/>
      <c r="D35" s="157" t="e">
        <f aca="false">D33-D34</f>
        <v>#DIV/0!</v>
      </c>
      <c r="E35" s="158"/>
      <c r="F35" s="159"/>
      <c r="H35" s="170"/>
      <c r="I35" s="171"/>
      <c r="J35" s="170"/>
      <c r="K35" s="170"/>
      <c r="L35" s="170"/>
      <c r="M35" s="170"/>
      <c r="N35" s="170"/>
    </row>
    <row r="36" customFormat="false" ht="14.25" hidden="false" customHeight="true" outlineLevel="0" collapsed="false">
      <c r="A36" s="162"/>
      <c r="B36" s="163"/>
      <c r="C36" s="163"/>
      <c r="D36" s="164" t="n">
        <f aca="false">IF(B36="",0,(C36-B36+1))</f>
        <v>0</v>
      </c>
      <c r="E36" s="140" t="n">
        <f aca="false">IF(D36=0,0,IF(OR($F$2=30,$F$2=D36),D36*30/$F$2,(D36*30/$F$2)+0.0005))</f>
        <v>0</v>
      </c>
      <c r="F36" s="141"/>
      <c r="H36" s="172"/>
      <c r="I36" s="172"/>
      <c r="J36" s="172"/>
      <c r="K36" s="170"/>
      <c r="L36" s="170"/>
      <c r="M36" s="170"/>
      <c r="N36" s="170"/>
    </row>
    <row r="37" customFormat="false" ht="14.25" hidden="false" customHeight="true" outlineLevel="0" collapsed="false">
      <c r="A37" s="142"/>
      <c r="B37" s="143"/>
      <c r="C37" s="143"/>
      <c r="F37" s="166"/>
      <c r="H37" s="172"/>
      <c r="I37" s="172"/>
      <c r="J37" s="172"/>
      <c r="K37" s="172"/>
      <c r="L37" s="172"/>
      <c r="M37" s="172"/>
      <c r="N37" s="170"/>
    </row>
    <row r="38" customFormat="false" ht="14.25" hidden="false" customHeight="true" outlineLevel="0" collapsed="false">
      <c r="A38" s="145" t="s">
        <v>79</v>
      </c>
      <c r="B38" s="124" t="n">
        <f aca="false">IF(A36="Abs (Mal, CA, autres)",0,($B$15*$B$8*E36)/30)</f>
        <v>0</v>
      </c>
      <c r="C38" s="124"/>
      <c r="D38" s="146" t="e">
        <f aca="false">IF(A36="Abs (Mal, CA, autres)",0,B38+$I$9+$J$9+F38)</f>
        <v>#DIV/0!</v>
      </c>
      <c r="F38" s="147" t="e">
        <f aca="false">IF($I$23&lt;0,"",$I$23*(E36/($E$21+$E$26+$E$31+$E$36+$E$41+$E$46+$E$51+$E$56+$E$61+$E$66)))</f>
        <v>#DIV/0!</v>
      </c>
      <c r="H38" s="172"/>
      <c r="I38" s="172"/>
      <c r="J38" s="172"/>
      <c r="K38" s="172"/>
      <c r="L38" s="172"/>
      <c r="M38" s="172"/>
      <c r="N38" s="170"/>
    </row>
    <row r="39" customFormat="false" ht="14.25" hidden="false" customHeight="true" outlineLevel="0" collapsed="false">
      <c r="A39" s="150" t="s">
        <v>81</v>
      </c>
      <c r="B39" s="124" t="n">
        <f aca="false">IF(A36="Abs (Mal, CA, autres)",0,(($B$15*E36)/30)*$D$8)</f>
        <v>0</v>
      </c>
      <c r="C39" s="124"/>
      <c r="D39" s="151" t="e">
        <f aca="false">IF(A36="Abs (Mal, CA, autres)",0,(B39+$I$9+J9+F39+K9))</f>
        <v>#DIV/0!</v>
      </c>
      <c r="F39" s="152" t="e">
        <f aca="false">IF($I$24&lt;0,"",$I$24*(E36/($E$21+$E$26+$E$31+$E$36+$E$41+$E$46+$E$51+$E$56+$E$61+$E$66)))</f>
        <v>#DIV/0!</v>
      </c>
      <c r="H39" s="172"/>
      <c r="I39" s="172"/>
      <c r="J39" s="172"/>
      <c r="K39" s="172"/>
      <c r="L39" s="172"/>
      <c r="M39" s="172"/>
      <c r="N39" s="170"/>
    </row>
    <row r="40" customFormat="false" ht="15" hidden="false" customHeight="true" outlineLevel="0" collapsed="false">
      <c r="A40" s="155" t="s">
        <v>22</v>
      </c>
      <c r="B40" s="157"/>
      <c r="C40" s="157"/>
      <c r="D40" s="157" t="e">
        <f aca="false">D38-D39</f>
        <v>#DIV/0!</v>
      </c>
      <c r="E40" s="158"/>
      <c r="F40" s="159"/>
      <c r="H40" s="172"/>
      <c r="I40" s="172"/>
      <c r="J40" s="172"/>
      <c r="K40" s="172"/>
      <c r="L40" s="172"/>
      <c r="M40" s="172"/>
      <c r="N40" s="170"/>
    </row>
    <row r="41" customFormat="false" ht="14.25" hidden="false" customHeight="true" outlineLevel="0" collapsed="false">
      <c r="A41" s="162"/>
      <c r="B41" s="163"/>
      <c r="C41" s="163"/>
      <c r="D41" s="164" t="n">
        <f aca="false">IF(B41="",0,(C41-B41+1))</f>
        <v>0</v>
      </c>
      <c r="E41" s="140" t="n">
        <f aca="false">IF(D41=0,0,IF(OR($F$2=30,$F$2=D41),D41*30/$F$2,(D41*30/$F$2)+0.0005))</f>
        <v>0</v>
      </c>
      <c r="F41" s="141"/>
      <c r="H41" s="170"/>
      <c r="I41" s="170"/>
      <c r="J41" s="170"/>
      <c r="K41" s="170"/>
      <c r="L41" s="170"/>
      <c r="M41" s="170"/>
      <c r="N41" s="170"/>
    </row>
    <row r="42" customFormat="false" ht="14.25" hidden="false" customHeight="true" outlineLevel="0" collapsed="false">
      <c r="A42" s="142"/>
      <c r="B42" s="143"/>
      <c r="C42" s="143"/>
      <c r="F42" s="166"/>
    </row>
    <row r="43" customFormat="false" ht="14.25" hidden="false" customHeight="true" outlineLevel="0" collapsed="false">
      <c r="A43" s="145" t="s">
        <v>79</v>
      </c>
      <c r="B43" s="124" t="n">
        <f aca="false">IF(A41="Abs (Mal, CA, autres)",0,($B$15*$B$8*E41)/30)</f>
        <v>0</v>
      </c>
      <c r="C43" s="124"/>
      <c r="D43" s="146" t="e">
        <f aca="false">IF(A41="Abs (Mal, CA, autres)",0,B43+$I$10+$J$10+F43)</f>
        <v>#DIV/0!</v>
      </c>
      <c r="F43" s="147" t="e">
        <f aca="false">IF($I$23&lt;0,"",$I$23*(E41/($E$21+$E$26+$E$31+$E$36+$E$41+$E$46+$E$51+$E$56+$E$61+$E$66)))</f>
        <v>#DIV/0!</v>
      </c>
    </row>
    <row r="44" customFormat="false" ht="14.25" hidden="false" customHeight="true" outlineLevel="0" collapsed="false">
      <c r="A44" s="150" t="s">
        <v>81</v>
      </c>
      <c r="B44" s="124" t="n">
        <f aca="false">IF(A41="Abs (Mal, CA, autres)",0,(($B$15*E41)/30)*$D$8)</f>
        <v>0</v>
      </c>
      <c r="C44" s="124"/>
      <c r="D44" s="151" t="e">
        <f aca="false">IF(A41="Abs (Mal, CA, autres)",0,(B44+$I$10+J10+F44+K10))</f>
        <v>#DIV/0!</v>
      </c>
      <c r="F44" s="152" t="e">
        <f aca="false">IF($I$24&lt;0,"",$I$24*(E41/($E$21+$E$26+$E$31+$E$36+$E$41+$E$46+$E$51+$E$56+$E$61+$E$66)))</f>
        <v>#DIV/0!</v>
      </c>
    </row>
    <row r="45" customFormat="false" ht="15" hidden="false" customHeight="true" outlineLevel="0" collapsed="false">
      <c r="A45" s="155" t="s">
        <v>22</v>
      </c>
      <c r="B45" s="157"/>
      <c r="C45" s="157"/>
      <c r="D45" s="157" t="e">
        <f aca="false">D43-D44</f>
        <v>#DIV/0!</v>
      </c>
      <c r="E45" s="158"/>
      <c r="F45" s="159"/>
    </row>
    <row r="46" customFormat="false" ht="14.25" hidden="false" customHeight="true" outlineLevel="0" collapsed="false">
      <c r="A46" s="162"/>
      <c r="B46" s="163"/>
      <c r="C46" s="163"/>
      <c r="D46" s="164" t="n">
        <f aca="false">IF(B46="",0,(C46-B46+1))</f>
        <v>0</v>
      </c>
      <c r="E46" s="140" t="n">
        <f aca="false">IF(D46=0,0,IF(OR($F$2=30,$F$2=D46),D46*30/$F$2,(D46*30/$F$2)+0.0005))</f>
        <v>0</v>
      </c>
      <c r="F46" s="141"/>
    </row>
    <row r="47" customFormat="false" ht="14.25" hidden="false" customHeight="true" outlineLevel="0" collapsed="false">
      <c r="A47" s="142"/>
      <c r="B47" s="143"/>
      <c r="C47" s="143"/>
      <c r="F47" s="166"/>
    </row>
    <row r="48" customFormat="false" ht="14.25" hidden="false" customHeight="true" outlineLevel="0" collapsed="false">
      <c r="A48" s="145" t="s">
        <v>79</v>
      </c>
      <c r="B48" s="124" t="n">
        <f aca="false">IF(A46="Abs (Mal, CA, autres)",0,($B$15*$B$8*E46)/30)</f>
        <v>0</v>
      </c>
      <c r="C48" s="124"/>
      <c r="D48" s="146" t="e">
        <f aca="false">IF(A46="Abs (Mal, CA, autres)",0,B48+$I$11+$J$11+F48)</f>
        <v>#DIV/0!</v>
      </c>
      <c r="F48" s="147" t="e">
        <f aca="false">IF($I$23&lt;0,"",$I$23*(E46/($E$21+$E$26+$E$31+$E$36+$E$41+$E$46+$E$51+$E$56+$E$61+$E$66)))</f>
        <v>#DIV/0!</v>
      </c>
    </row>
    <row r="49" customFormat="false" ht="14.25" hidden="false" customHeight="true" outlineLevel="0" collapsed="false">
      <c r="A49" s="150" t="s">
        <v>81</v>
      </c>
      <c r="B49" s="124" t="n">
        <f aca="false">IF(A46="Abs (Mal, CA, autres)",0,(($B$15*E46)/30)*$D$8)</f>
        <v>0</v>
      </c>
      <c r="C49" s="124"/>
      <c r="D49" s="151" t="e">
        <f aca="false">IF(A46="Abs (Mal, CA, autres)",0,(B49+$I$11+J11+F49+K11))</f>
        <v>#DIV/0!</v>
      </c>
      <c r="F49" s="152" t="e">
        <f aca="false">IF($I$24&lt;0,"",$I$24*(E46/($E$21+$E$26+$E$31+$E$36+$E$41+$E$46+$E$51+$E$56+$E$61+$E$66)))</f>
        <v>#DIV/0!</v>
      </c>
      <c r="G49" s="91"/>
      <c r="H49" s="91"/>
    </row>
    <row r="50" customFormat="false" ht="15" hidden="false" customHeight="true" outlineLevel="0" collapsed="false">
      <c r="A50" s="173" t="s">
        <v>22</v>
      </c>
      <c r="B50" s="174"/>
      <c r="C50" s="174"/>
      <c r="D50" s="157" t="e">
        <f aca="false">D48-D49</f>
        <v>#DIV/0!</v>
      </c>
      <c r="E50" s="158"/>
      <c r="F50" s="159"/>
    </row>
    <row r="51" customFormat="false" ht="14.25" hidden="false" customHeight="true" outlineLevel="0" collapsed="false">
      <c r="A51" s="162"/>
      <c r="B51" s="163"/>
      <c r="C51" s="163"/>
      <c r="D51" s="164" t="n">
        <f aca="false">IF(B51="",0,(C51-B51+1))</f>
        <v>0</v>
      </c>
      <c r="E51" s="175" t="n">
        <f aca="false">IF(D51=0,0,IF(OR($F$2=30,$F$2=D51),D51*30/$F$2,(D51*30/$F$2)+0.0005))</f>
        <v>0</v>
      </c>
      <c r="F51" s="141"/>
      <c r="H51" s="146"/>
    </row>
    <row r="52" customFormat="false" ht="14.25" hidden="false" customHeight="true" outlineLevel="0" collapsed="false">
      <c r="A52" s="142"/>
      <c r="B52" s="143"/>
      <c r="C52" s="143"/>
      <c r="F52" s="166"/>
    </row>
    <row r="53" customFormat="false" ht="14.25" hidden="false" customHeight="true" outlineLevel="0" collapsed="false">
      <c r="A53" s="145" t="s">
        <v>79</v>
      </c>
      <c r="B53" s="124" t="n">
        <f aca="false">IF(A51="Abs (Mal, CA, autres)",0,($B$15*$B$8*E51)/30)</f>
        <v>0</v>
      </c>
      <c r="C53" s="124"/>
      <c r="D53" s="146" t="e">
        <f aca="false">IF(A51="Abs (Mal, CA, autres)",0,B53+$I$12+$J$12+F53)</f>
        <v>#DIV/0!</v>
      </c>
      <c r="F53" s="147" t="e">
        <f aca="false">IF($I$23&lt;0,"",$I$23*(E51/($E$21+$E$26+$E$31+$E$36+$E$41+$E$46+$E$51+$E$56+$E$61+$E$66)))</f>
        <v>#DIV/0!</v>
      </c>
    </row>
    <row r="54" customFormat="false" ht="14.25" hidden="false" customHeight="true" outlineLevel="0" collapsed="false">
      <c r="A54" s="150" t="s">
        <v>81</v>
      </c>
      <c r="B54" s="124" t="n">
        <f aca="false">IF(A51="Abs (Mal, CA, autres)",0,(($B$15*E51)/30)*$D$8)</f>
        <v>0</v>
      </c>
      <c r="C54" s="124"/>
      <c r="D54" s="151" t="e">
        <f aca="false">IF(A51="Abs (Mal, CA, autres)",0,(B54+$I$12+J12+F54+K12))</f>
        <v>#DIV/0!</v>
      </c>
      <c r="F54" s="152" t="e">
        <f aca="false">IF($I$24&lt;0,"",$I$24*(E51/($E$21+$E$26+$E$31+$E$36+$E$41+$E$46+$E$51+$E$56+$E$61+$E$66)))</f>
        <v>#DIV/0!</v>
      </c>
    </row>
    <row r="55" customFormat="false" ht="15" hidden="false" customHeight="true" outlineLevel="0" collapsed="false">
      <c r="A55" s="155" t="s">
        <v>22</v>
      </c>
      <c r="B55" s="157"/>
      <c r="C55" s="157"/>
      <c r="D55" s="157" t="e">
        <f aca="false">D53-D54</f>
        <v>#DIV/0!</v>
      </c>
      <c r="E55" s="158"/>
      <c r="F55" s="159"/>
    </row>
    <row r="56" customFormat="false" ht="14.25" hidden="false" customHeight="true" outlineLevel="0" collapsed="false">
      <c r="A56" s="162"/>
      <c r="B56" s="163"/>
      <c r="C56" s="163"/>
      <c r="D56" s="164" t="n">
        <f aca="false">IF(B56="",0,(C56-B56+1))</f>
        <v>0</v>
      </c>
      <c r="E56" s="175" t="n">
        <f aca="false">IF(D56=0,0,IF(OR($F$2=30,$F$2=D56),D56*30/$F$2,(D56*30/$F$2)+0.0005))</f>
        <v>0</v>
      </c>
      <c r="F56" s="141"/>
    </row>
    <row r="57" customFormat="false" ht="14.25" hidden="false" customHeight="true" outlineLevel="0" collapsed="false">
      <c r="A57" s="142"/>
      <c r="B57" s="143"/>
      <c r="C57" s="143"/>
      <c r="F57" s="166"/>
    </row>
    <row r="58" customFormat="false" ht="14.25" hidden="false" customHeight="true" outlineLevel="0" collapsed="false">
      <c r="A58" s="145" t="s">
        <v>79</v>
      </c>
      <c r="B58" s="124" t="n">
        <f aca="false">IF(A56="Abs (Mal, CA, autres)",0,($B$15*$B$8*E56)/30)</f>
        <v>0</v>
      </c>
      <c r="C58" s="124"/>
      <c r="D58" s="146" t="e">
        <f aca="false">IF(A56="Abs (Mal, CA, autres)",0,B58+$I$13+$J$13+F58)</f>
        <v>#DIV/0!</v>
      </c>
      <c r="F58" s="147" t="e">
        <f aca="false">IF($I$23&lt;0,"",$I$23*(E56/($E$21+$E$26+$E$31+$E$36+$E$41+$E$46+$E$51+$E$56+$E$61+$E$66)))</f>
        <v>#DIV/0!</v>
      </c>
    </row>
    <row r="59" customFormat="false" ht="14.25" hidden="false" customHeight="true" outlineLevel="0" collapsed="false">
      <c r="A59" s="150" t="s">
        <v>81</v>
      </c>
      <c r="B59" s="124" t="n">
        <f aca="false">IF(A56="Abs (Mal, CA, autres)",0,(($B$15*E56)/30)*$D$8)</f>
        <v>0</v>
      </c>
      <c r="C59" s="124"/>
      <c r="D59" s="151" t="e">
        <f aca="false">IF(A56="Abs (Mal, CA, autres)",0,(B59+$I$13+J13+F59+K13))</f>
        <v>#DIV/0!</v>
      </c>
      <c r="F59" s="152" t="e">
        <f aca="false">IF($I$24&lt;0,"",$I$24*(E56/($E$21+$E$26+$E$31+$E$36+$E$41+$E$46+$E$51+$E$56+$E$61+$E$66)))</f>
        <v>#DIV/0!</v>
      </c>
    </row>
    <row r="60" customFormat="false" ht="15" hidden="false" customHeight="true" outlineLevel="0" collapsed="false">
      <c r="A60" s="155" t="s">
        <v>22</v>
      </c>
      <c r="B60" s="157"/>
      <c r="C60" s="157"/>
      <c r="D60" s="157" t="e">
        <f aca="false">D58-D59</f>
        <v>#DIV/0!</v>
      </c>
      <c r="E60" s="158"/>
      <c r="F60" s="159"/>
    </row>
    <row r="61" customFormat="false" ht="14.25" hidden="false" customHeight="true" outlineLevel="0" collapsed="false">
      <c r="A61" s="162"/>
      <c r="B61" s="163"/>
      <c r="C61" s="163"/>
      <c r="D61" s="164" t="n">
        <f aca="false">IF(B61="",0,(C61-B61+1))</f>
        <v>0</v>
      </c>
      <c r="E61" s="175" t="n">
        <f aca="false">IF(D61=0,0,IF(OR($F$2=30,$F$2=D61),D61*30/$F$2,(D61*30/$F$2)+0.0005))</f>
        <v>0</v>
      </c>
      <c r="F61" s="141"/>
    </row>
    <row r="62" customFormat="false" ht="14.25" hidden="false" customHeight="true" outlineLevel="0" collapsed="false">
      <c r="A62" s="142"/>
      <c r="B62" s="143"/>
      <c r="C62" s="143"/>
      <c r="F62" s="166"/>
    </row>
    <row r="63" customFormat="false" ht="14.25" hidden="false" customHeight="true" outlineLevel="0" collapsed="false">
      <c r="A63" s="145" t="s">
        <v>79</v>
      </c>
      <c r="B63" s="124" t="n">
        <f aca="false">IF(A61="Abs (Mal, CA, autres)",0,($B$15*$B$8*E61)/30)</f>
        <v>0</v>
      </c>
      <c r="C63" s="124"/>
      <c r="D63" s="146" t="e">
        <f aca="false">IF(A61="Abs (Mal, CA, autres)",0,B63+$I$14+$J$14+F63)</f>
        <v>#DIV/0!</v>
      </c>
      <c r="F63" s="147" t="e">
        <f aca="false">IF($I$23&lt;0,"",$I$23*(E61/($E$21+$E$26+$E$31+$E$36+$E$41+$E$46+$E$51+$E$56+$E$61+$E$66)))</f>
        <v>#DIV/0!</v>
      </c>
    </row>
    <row r="64" customFormat="false" ht="14.25" hidden="false" customHeight="true" outlineLevel="0" collapsed="false">
      <c r="A64" s="150" t="s">
        <v>81</v>
      </c>
      <c r="B64" s="124" t="n">
        <f aca="false">IF(A61="Abs (Mal, CA, autres)",0,(($B$15*E61)/30)*$D$8)</f>
        <v>0</v>
      </c>
      <c r="C64" s="124"/>
      <c r="D64" s="151" t="e">
        <f aca="false">IF(A61="Abs (Mal, CA, autres)",0,(B64+$I$14+J14+F64+K14))</f>
        <v>#DIV/0!</v>
      </c>
      <c r="F64" s="152" t="e">
        <f aca="false">IF($I$24&lt;0,"",$I$24*(E61/($E$21+$E$26+$E$31+$E$36+$E$41+$E$46+$E$51+$E$56+$E$61+$E$66)))</f>
        <v>#DIV/0!</v>
      </c>
    </row>
    <row r="65" customFormat="false" ht="15" hidden="false" customHeight="true" outlineLevel="0" collapsed="false">
      <c r="A65" s="155" t="s">
        <v>22</v>
      </c>
      <c r="B65" s="157"/>
      <c r="C65" s="157"/>
      <c r="D65" s="157" t="e">
        <f aca="false">D63-D64</f>
        <v>#DIV/0!</v>
      </c>
      <c r="E65" s="158"/>
      <c r="F65" s="159"/>
    </row>
    <row r="66" customFormat="false" ht="14.25" hidden="false" customHeight="true" outlineLevel="0" collapsed="false">
      <c r="A66" s="162"/>
      <c r="B66" s="163"/>
      <c r="C66" s="163"/>
      <c r="D66" s="164" t="n">
        <f aca="false">IF(B66="",0,(C66-B66+1))</f>
        <v>0</v>
      </c>
      <c r="E66" s="175" t="n">
        <f aca="false">IF(D66=0,0,IF(OR($F$2=30,$F$2=D66),D66*30/$F$2,(D66*30/$F$2)+0.0005))</f>
        <v>0</v>
      </c>
      <c r="F66" s="141"/>
    </row>
    <row r="67" customFormat="false" ht="14.25" hidden="false" customHeight="true" outlineLevel="0" collapsed="false">
      <c r="A67" s="142"/>
      <c r="B67" s="143"/>
      <c r="C67" s="143"/>
      <c r="F67" s="166"/>
    </row>
    <row r="68" customFormat="false" ht="14.25" hidden="false" customHeight="true" outlineLevel="0" collapsed="false">
      <c r="A68" s="145" t="s">
        <v>79</v>
      </c>
      <c r="B68" s="124" t="n">
        <f aca="false">IF(A66="Abs (Mal, CA, autres)",0,($B$15*$B$8*E66)/30)</f>
        <v>0</v>
      </c>
      <c r="C68" s="124"/>
      <c r="D68" s="146" t="e">
        <f aca="false">IF(A66="Abs (Mal, CA, autres)",0,B68+$I$15+$J$15+F68)</f>
        <v>#DIV/0!</v>
      </c>
      <c r="F68" s="147" t="e">
        <f aca="false">IF($I$23&lt;0,"",$I$23*(E66/($E$21+$E$26+$E$31+$E$36+$E$41+$E$46+$E$51+$E$56+$E$61+$E$66)))</f>
        <v>#DIV/0!</v>
      </c>
    </row>
    <row r="69" customFormat="false" ht="14.25" hidden="false" customHeight="true" outlineLevel="0" collapsed="false">
      <c r="A69" s="150" t="s">
        <v>81</v>
      </c>
      <c r="B69" s="124" t="n">
        <f aca="false">IF(A66="Abs (Mal, CA, autres)",0,(($B$15*E66)/30)*$D$8)</f>
        <v>0</v>
      </c>
      <c r="C69" s="124"/>
      <c r="D69" s="151" t="e">
        <f aca="false">IF(A66="Abs (Mal, CA, autres)",0,(B69+$I$15+J15+F69+K15))</f>
        <v>#DIV/0!</v>
      </c>
      <c r="F69" s="152" t="e">
        <f aca="false">IF($I$24&lt;0,"",$I$24*(E66/($E$21+$E$26+$E$31+$E$36+$E$41+$E$46+$E$51+$E$56+$E$61+$E$66)))</f>
        <v>#DIV/0!</v>
      </c>
    </row>
    <row r="70" customFormat="false" ht="14.25" hidden="false" customHeight="true" outlineLevel="0" collapsed="false">
      <c r="A70" s="176" t="s">
        <v>22</v>
      </c>
      <c r="B70" s="177"/>
      <c r="C70" s="177"/>
      <c r="D70" s="177" t="e">
        <f aca="false">D68-D69</f>
        <v>#DIV/0!</v>
      </c>
      <c r="E70" s="178"/>
      <c r="F70" s="179"/>
    </row>
    <row r="71" customFormat="false" ht="14.25" hidden="false" customHeight="true" outlineLevel="0" collapsed="false">
      <c r="A71" s="180"/>
      <c r="B71" s="181"/>
      <c r="C71" s="181"/>
      <c r="D71" s="181"/>
    </row>
    <row r="72" customFormat="false" ht="14.25" hidden="false" customHeight="true" outlineLevel="0" collapsed="false">
      <c r="A72" s="182" t="s">
        <v>85</v>
      </c>
      <c r="B72" s="182"/>
      <c r="C72" s="182"/>
      <c r="D72" s="182"/>
      <c r="E72" s="182"/>
      <c r="F72" s="183" t="e">
        <f aca="false">+D25+D30+D35+D40+D45+D50+D55+D60+D65+D70</f>
        <v>#DIV/0!</v>
      </c>
    </row>
    <row r="73" customFormat="false" ht="15" hidden="false" customHeight="true" outlineLevel="0" collapsed="false"/>
    <row r="74" customFormat="false" ht="15" hidden="false" customHeight="true" outlineLevel="0" collapsed="false">
      <c r="A74" s="184" t="s">
        <v>86</v>
      </c>
      <c r="B74" s="184"/>
      <c r="C74" s="184"/>
      <c r="D74" s="184"/>
      <c r="E74" s="184"/>
      <c r="F74" s="185" t="e">
        <f aca="false">IF(I18&gt;0,D24-$E$16-$I$18+D29+D34+D39+D44+D49+D54+D59+D64+D69,D24-$E$16+D29+D34+D39+D44+D49+D54+D59+D64+D69)</f>
        <v>#DIV/0!</v>
      </c>
      <c r="G74" s="136" t="s">
        <v>78</v>
      </c>
      <c r="H74" s="136" t="s">
        <v>87</v>
      </c>
    </row>
    <row r="75" customFormat="false" ht="14.25" hidden="false" customHeight="true" outlineLevel="0" collapsed="false">
      <c r="A75" s="119"/>
      <c r="B75" s="132" t="s">
        <v>10</v>
      </c>
      <c r="C75" s="186" t="str">
        <f aca="false">+IF(B21&gt;0,B21,"")</f>
        <v/>
      </c>
      <c r="D75" s="187" t="s">
        <v>88</v>
      </c>
      <c r="E75" s="186" t="str">
        <f aca="false">+IF(C21&gt;0,C21,"")</f>
        <v/>
      </c>
      <c r="F75" s="146" t="e">
        <f aca="false">+D24-K6-J6</f>
        <v>#DIV/0!</v>
      </c>
      <c r="G75" s="124" t="e">
        <f aca="false">F24</f>
        <v>#DIV/0!</v>
      </c>
      <c r="H75" s="188" t="str">
        <f aca="false">IFERROR(IF($I$31&lt;0,"",$I$31*(E21/($E$21+$E$26+$E$31+$E$36+$E$41+$E$46+$E$51+$E$56+$E$61+$E$66))),"")</f>
        <v/>
      </c>
    </row>
    <row r="76" customFormat="false" ht="14.25" hidden="false" customHeight="true" outlineLevel="0" collapsed="false">
      <c r="A76" s="132"/>
      <c r="B76" s="132" t="s">
        <v>89</v>
      </c>
      <c r="C76" s="186" t="str">
        <f aca="false">+IF(B26&gt;0,B26,"")</f>
        <v/>
      </c>
      <c r="D76" s="119" t="s">
        <v>88</v>
      </c>
      <c r="E76" s="186" t="str">
        <f aca="false">+IF(C26&gt;0,C26,"")</f>
        <v/>
      </c>
      <c r="F76" s="146" t="e">
        <f aca="false">+D29-J7-K7</f>
        <v>#DIV/0!</v>
      </c>
      <c r="G76" s="124" t="e">
        <f aca="false">F29</f>
        <v>#DIV/0!</v>
      </c>
      <c r="H76" s="188" t="str">
        <f aca="false">IFERROR(IF($I$31&lt;0,"",$I$31*(E26/($E$21+$E$26+$E$31+$E$36+$E$41+$E$46+$E$51+$E$56+$E$61+$E$66))),"")</f>
        <v/>
      </c>
    </row>
    <row r="77" customFormat="false" ht="14.25" hidden="false" customHeight="true" outlineLevel="0" collapsed="false">
      <c r="A77" s="132"/>
      <c r="B77" s="132" t="s">
        <v>89</v>
      </c>
      <c r="C77" s="186" t="str">
        <f aca="false">+IF(B31&gt;0,B31,"")</f>
        <v/>
      </c>
      <c r="D77" s="119" t="s">
        <v>88</v>
      </c>
      <c r="E77" s="186" t="str">
        <f aca="false">+IF(C31&gt;0,C31,"")</f>
        <v/>
      </c>
      <c r="F77" s="146" t="e">
        <f aca="false">+D34-J8-K8</f>
        <v>#DIV/0!</v>
      </c>
      <c r="G77" s="124" t="e">
        <f aca="false">F34</f>
        <v>#DIV/0!</v>
      </c>
      <c r="H77" s="188" t="str">
        <f aca="false">IFERROR(IF($I$31&lt;0,"",$I$31*(E31/($E$21+$E$26+$E$31+$E$36+$E$41+$E$46+$E$51+$E$56+$E$61+$E$66))),"")</f>
        <v/>
      </c>
    </row>
    <row r="78" customFormat="false" ht="14.25" hidden="false" customHeight="true" outlineLevel="0" collapsed="false">
      <c r="A78" s="132"/>
      <c r="B78" s="132" t="s">
        <v>89</v>
      </c>
      <c r="C78" s="186" t="str">
        <f aca="false">+IF(B36&gt;0,B36,"")</f>
        <v/>
      </c>
      <c r="D78" s="119" t="s">
        <v>88</v>
      </c>
      <c r="E78" s="186" t="str">
        <f aca="false">+IF(C36&gt;0,C36,"")</f>
        <v/>
      </c>
      <c r="F78" s="146" t="e">
        <f aca="false">+D39-J9-K9</f>
        <v>#DIV/0!</v>
      </c>
      <c r="G78" s="124" t="e">
        <f aca="false">F39</f>
        <v>#DIV/0!</v>
      </c>
      <c r="H78" s="188" t="str">
        <f aca="false">IFERROR(IF($I$31&lt;0,"",$I$31*(E36/($E$21+$E$26+$E$31+$E$36+$E$41+$E$46+$E$51+$E$56+$E$61+$E$66))),"")</f>
        <v/>
      </c>
    </row>
    <row r="79" customFormat="false" ht="14.25" hidden="false" customHeight="true" outlineLevel="0" collapsed="false">
      <c r="A79" s="132"/>
      <c r="B79" s="132" t="s">
        <v>89</v>
      </c>
      <c r="C79" s="186" t="str">
        <f aca="false">+IF(B41&gt;0,B41,"")</f>
        <v/>
      </c>
      <c r="D79" s="119" t="s">
        <v>88</v>
      </c>
      <c r="E79" s="186" t="str">
        <f aca="false">+IF(C41&gt;0,C41,"")</f>
        <v/>
      </c>
      <c r="F79" s="146" t="e">
        <f aca="false">+D44-J10-K10</f>
        <v>#DIV/0!</v>
      </c>
      <c r="G79" s="124" t="e">
        <f aca="false">F44</f>
        <v>#DIV/0!</v>
      </c>
      <c r="H79" s="188" t="str">
        <f aca="false">IFERROR(IF($I$31&lt;0,"",$I$31*(E41/($E$21+$E$26+$E$31+$E$36+$E$41+$E$46+$E$51+$E$56+$E$61+$E$66))),"")</f>
        <v/>
      </c>
    </row>
    <row r="80" customFormat="false" ht="14.25" hidden="false" customHeight="true" outlineLevel="0" collapsed="false">
      <c r="B80" s="132" t="s">
        <v>89</v>
      </c>
      <c r="C80" s="186" t="str">
        <f aca="false">+IF(B46&gt;0,B46,"")</f>
        <v/>
      </c>
      <c r="D80" s="119" t="s">
        <v>88</v>
      </c>
      <c r="E80" s="186" t="str">
        <f aca="false">+IF(C46&gt;0,C46,"")</f>
        <v/>
      </c>
      <c r="F80" s="146" t="e">
        <f aca="false">+D49-J11-K11</f>
        <v>#DIV/0!</v>
      </c>
      <c r="G80" s="124" t="e">
        <f aca="false">F49</f>
        <v>#DIV/0!</v>
      </c>
      <c r="H80" s="188" t="str">
        <f aca="false">IFERROR(IF($I$31&lt;0,"",$I$31*(E46/($E$21+$E$26+$E$31+$E$36+$E$41+$E$46+$E$51+$E$56+$E$61+$E$66))),"")</f>
        <v/>
      </c>
    </row>
    <row r="81" customFormat="false" ht="14.25" hidden="false" customHeight="true" outlineLevel="0" collapsed="false">
      <c r="B81" s="132" t="s">
        <v>89</v>
      </c>
      <c r="C81" s="186" t="str">
        <f aca="false">+IF(B51&gt;0,B51,"")</f>
        <v/>
      </c>
      <c r="D81" s="119" t="s">
        <v>88</v>
      </c>
      <c r="E81" s="186" t="str">
        <f aca="false">+IF(C51&gt;0,C51,"")</f>
        <v/>
      </c>
      <c r="F81" s="146" t="e">
        <f aca="false">+D54-J12-K12</f>
        <v>#DIV/0!</v>
      </c>
      <c r="G81" s="124" t="e">
        <f aca="false">F54</f>
        <v>#DIV/0!</v>
      </c>
      <c r="H81" s="188" t="str">
        <f aca="false">IFERROR(IF($I$31&lt;0,"",$I$31*(E51/($E$21+$E$26+$E$31+$E$36+$E$41+$E$46+$E$51+$E$56+$E$61+$E$66))),"")</f>
        <v/>
      </c>
    </row>
    <row r="82" customFormat="false" ht="14.25" hidden="false" customHeight="true" outlineLevel="0" collapsed="false">
      <c r="B82" s="132" t="s">
        <v>89</v>
      </c>
      <c r="C82" s="186" t="str">
        <f aca="false">+IF(B56&gt;0,B56,"")</f>
        <v/>
      </c>
      <c r="D82" s="119" t="s">
        <v>88</v>
      </c>
      <c r="E82" s="186" t="str">
        <f aca="false">+IF(C56&gt;0,C56,"")</f>
        <v/>
      </c>
      <c r="F82" s="146" t="e">
        <f aca="false">+D59-J13-K13</f>
        <v>#DIV/0!</v>
      </c>
      <c r="G82" s="124" t="e">
        <f aca="false">F59</f>
        <v>#DIV/0!</v>
      </c>
      <c r="H82" s="188" t="str">
        <f aca="false">IFERROR(IF($I$31&lt;0,"",$I$31*(E56/($E$21+$E$26+$E$31+$E$36+$E$41+$E$46+$E$51+$E$56+$E$61+$E$66))),"")</f>
        <v/>
      </c>
    </row>
    <row r="83" customFormat="false" ht="14.25" hidden="false" customHeight="true" outlineLevel="0" collapsed="false">
      <c r="B83" s="132" t="s">
        <v>89</v>
      </c>
      <c r="C83" s="186" t="str">
        <f aca="false">+IF(B61&gt;0,B61,"")</f>
        <v/>
      </c>
      <c r="D83" s="119" t="s">
        <v>88</v>
      </c>
      <c r="E83" s="186" t="str">
        <f aca="false">+IF(C61&gt;0,C61,"")</f>
        <v/>
      </c>
      <c r="F83" s="146" t="e">
        <f aca="false">+D64-J14-K14</f>
        <v>#DIV/0!</v>
      </c>
      <c r="G83" s="124" t="e">
        <f aca="false">F64</f>
        <v>#DIV/0!</v>
      </c>
      <c r="H83" s="188" t="str">
        <f aca="false">IFERROR(IF($I$31&lt;0,"",$I$31*(E61/($E$21+$E$26+$E$31+$E$36+$E$41+$E$46+$E$51+$E$56+$E$61+$E$66))),"")</f>
        <v/>
      </c>
    </row>
    <row r="84" customFormat="false" ht="14.25" hidden="false" customHeight="true" outlineLevel="0" collapsed="false">
      <c r="B84" s="132" t="s">
        <v>89</v>
      </c>
      <c r="C84" s="186" t="str">
        <f aca="false">+IF(B66&gt;0,B66,"")</f>
        <v/>
      </c>
      <c r="D84" s="119" t="s">
        <v>88</v>
      </c>
      <c r="E84" s="186" t="str">
        <f aca="false">+IF(C66&gt;0,C66,"")</f>
        <v/>
      </c>
      <c r="F84" s="146" t="e">
        <f aca="false">+D69-J15-K15</f>
        <v>#DIV/0!</v>
      </c>
      <c r="G84" s="124" t="e">
        <f aca="false">F69</f>
        <v>#DIV/0!</v>
      </c>
      <c r="H84" s="188" t="str">
        <f aca="false">IFERROR(IF($I$31&lt;0,"",$I$31*(E66/($E$21+$E$26+$E$31+$E$36+$E$41+$E$46+$E$51+$E$56+$E$61+$E$66))),"")</f>
        <v/>
      </c>
    </row>
  </sheetData>
  <mergeCells count="3">
    <mergeCell ref="D4:E4"/>
    <mergeCell ref="A72:E72"/>
    <mergeCell ref="A74:E74"/>
  </mergeCells>
  <dataValidations count="3">
    <dataValidation allowBlank="true" error="Merci de sélectionner un motif dans la liste déroulante" errorStyle="stop" errorTitle="Motif non connu" operator="between" prompt="Sélectionner le motif de l'absence" promptTitle="MOTIFS ABS" showDropDown="false" showErrorMessage="true" showInputMessage="true" sqref="A22 A27 A32 A37 A42 A47 A52 A57 A62 A67" type="list">
      <formula1>$R$2:$R$5</formula1>
      <formula2>0</formula2>
    </dataValidation>
    <dataValidation allowBlank="true" error="Sélectionner le motif ML36 ou sélectionner un motif d'absence dans l'onglet en-dessous" errorStyle="stop" errorTitle="Motif non connu" operator="between" prompt="Sélectionner le motif ML36" promptTitle="Motifs" showDropDown="false" showErrorMessage="true" showInputMessage="true" sqref="A21 A26 A31 A36 A41 A46 A51 A56 A61 A66" type="list">
      <formula1>$Q$2:$Q$6</formula1>
      <formula2>0</formula2>
    </dataValidation>
    <dataValidation allowBlank="true" error="Sélectionner un motif connu " errorStyle="stop" errorTitle="Motif non connu" operator="between" prompt="Sélectionner le motif de la période" promptTitle="Motifs" showDropDown="false" showErrorMessage="true" showInputMessage="true" sqref="Q1:Q3 Q5:Q6" type="list">
      <formula1>$Q$2:$Q$6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77A0"/>
    <pageSetUpPr fitToPage="false"/>
  </sheetPr>
  <dimension ref="A1:S86"/>
  <sheetViews>
    <sheetView showFormulas="false" showGridLines="false" showRowColHeaders="true" showZeros="true" rightToLeft="false" tabSelected="true" showOutlineSymbols="true" defaultGridColor="true" view="normal" topLeftCell="A1" colorId="64" zoomScale="77" zoomScaleNormal="77" zoomScalePageLayoutView="100" workbookViewId="0">
      <selection pane="topLeft" activeCell="F1" activeCellId="0" sqref="F1"/>
    </sheetView>
  </sheetViews>
  <sheetFormatPr defaultColWidth="11.4453125" defaultRowHeight="14.25" zeroHeight="false" outlineLevelRow="0" outlineLevelCol="0"/>
  <cols>
    <col collapsed="false" customWidth="true" hidden="false" outlineLevel="0" max="1" min="1" style="90" width="19.56"/>
    <col collapsed="false" customWidth="true" hidden="false" outlineLevel="0" max="2" min="2" style="90" width="23.56"/>
    <col collapsed="false" customWidth="true" hidden="false" outlineLevel="0" max="3" min="3" style="90" width="14.34"/>
    <col collapsed="false" customWidth="true" hidden="false" outlineLevel="0" max="4" min="4" style="90" width="17.11"/>
    <col collapsed="false" customWidth="true" hidden="false" outlineLevel="0" max="5" min="5" style="90" width="14.66"/>
    <col collapsed="false" customWidth="true" hidden="false" outlineLevel="0" max="6" min="6" style="90" width="15.33"/>
    <col collapsed="false" customWidth="true" hidden="false" outlineLevel="0" max="7" min="7" style="90" width="13.44"/>
    <col collapsed="false" customWidth="true" hidden="false" outlineLevel="0" max="9" min="9" style="90" width="23.88"/>
    <col collapsed="false" customWidth="true" hidden="false" outlineLevel="0" max="10" min="10" style="90" width="18"/>
    <col collapsed="false" customWidth="true" hidden="false" outlineLevel="0" max="11" min="11" style="90" width="16.33"/>
    <col collapsed="false" customWidth="true" hidden="true" outlineLevel="0" max="14" min="14" style="90" width="9.14"/>
    <col collapsed="false" customWidth="false" hidden="true" outlineLevel="0" max="15" min="15" style="90" width="11.44"/>
    <col collapsed="false" customWidth="true" hidden="true" outlineLevel="0" max="16" min="16" style="90" width="17.33"/>
    <col collapsed="false" customWidth="true" hidden="true" outlineLevel="0" max="17" min="17" style="90" width="10.89"/>
    <col collapsed="false" customWidth="false" hidden="true" outlineLevel="0" max="19" min="18" style="90" width="11.44"/>
  </cols>
  <sheetData>
    <row r="1" customFormat="false" ht="14.25" hidden="false" customHeight="true" outlineLevel="0" collapsed="false">
      <c r="A1" s="2" t="s">
        <v>2</v>
      </c>
      <c r="C1" s="189"/>
      <c r="E1" s="93" t="s">
        <v>36</v>
      </c>
      <c r="F1" s="94" t="n">
        <v>46174</v>
      </c>
      <c r="I1" s="91"/>
      <c r="R1" s="95" t="s">
        <v>37</v>
      </c>
      <c r="S1" s="90" t="s">
        <v>38</v>
      </c>
    </row>
    <row r="2" customFormat="false" ht="14.25" hidden="false" customHeight="true" outlineLevel="0" collapsed="false">
      <c r="A2" s="2" t="s">
        <v>8</v>
      </c>
      <c r="B2" s="190"/>
      <c r="C2" s="191"/>
      <c r="E2" s="93" t="s">
        <v>40</v>
      </c>
      <c r="F2" s="97" t="n">
        <v>30</v>
      </c>
      <c r="R2" s="95" t="s">
        <v>90</v>
      </c>
      <c r="S2" s="90" t="s">
        <v>91</v>
      </c>
    </row>
    <row r="3" customFormat="false" ht="14.25" hidden="false" customHeight="true" outlineLevel="0" collapsed="false">
      <c r="A3" s="2" t="s">
        <v>13</v>
      </c>
      <c r="B3" s="190"/>
      <c r="I3" s="192" t="s">
        <v>47</v>
      </c>
      <c r="J3" s="192"/>
      <c r="K3" s="192"/>
      <c r="L3" s="192"/>
      <c r="R3" s="95" t="s">
        <v>92</v>
      </c>
      <c r="S3" s="90" t="s">
        <v>93</v>
      </c>
    </row>
    <row r="4" customFormat="false" ht="14.25" hidden="false" customHeight="true" outlineLevel="0" collapsed="false">
      <c r="A4" s="2" t="s">
        <v>15</v>
      </c>
      <c r="B4" s="190"/>
      <c r="D4" s="99" t="s">
        <v>46</v>
      </c>
      <c r="E4" s="99"/>
      <c r="F4" s="100" t="n">
        <f aca="false">($B$16*B9)+$E$17+$E$16-P6-P7-P8-P9-P10-P11-P12-P13-P14-P5+J23</f>
        <v>0</v>
      </c>
      <c r="I4" s="106"/>
      <c r="J4" s="106" t="s">
        <v>50</v>
      </c>
      <c r="K4" s="107" t="s">
        <v>51</v>
      </c>
      <c r="L4" s="106" t="s">
        <v>52</v>
      </c>
      <c r="O4" s="108" t="s">
        <v>53</v>
      </c>
      <c r="P4" s="108"/>
      <c r="R4" s="95"/>
      <c r="S4" s="90" t="s">
        <v>54</v>
      </c>
    </row>
    <row r="5" customFormat="false" ht="14.25" hidden="false" customHeight="true" outlineLevel="0" collapsed="false">
      <c r="A5" s="2" t="s">
        <v>17</v>
      </c>
      <c r="B5" s="190"/>
      <c r="D5" s="193"/>
      <c r="E5" s="193"/>
      <c r="F5" s="194"/>
      <c r="I5" s="110" t="s">
        <v>94</v>
      </c>
      <c r="J5" s="195" t="e">
        <f aca="false">IF(A20="CA",0,IF($E$16&lt;0,"",$E$16*(E20/($E$20+$E$25+$E$30+$E$35+$E$40+$E$45+$E$50+$E$55+$E$60+$E$65))))</f>
        <v>#DIV/0!</v>
      </c>
      <c r="K5" s="111" t="e">
        <f aca="false">IF($E$17&lt;0,"",$E$17*(E20/($E$20+$E$25+$E$30+$E$35+$E$40+$E$45+$E$50+$E$55+$E$60+$E$65)))</f>
        <v>#DIV/0!</v>
      </c>
      <c r="L5" s="111" t="e">
        <f aca="false">IF($J$20&lt;0,"",$J$20*(E20/($E$20+$E$25+$E$30+$E$35+$E$40+$E$45+$E$50+$E$55+$E$60+$E$65)))</f>
        <v>#DIV/0!</v>
      </c>
      <c r="O5" s="108" t="s">
        <v>55</v>
      </c>
      <c r="P5" s="113" t="n">
        <f aca="false">IF(A21="Abs sans solde",($B$16*((C21-B21+1)*30)/$F$2)/30,0)</f>
        <v>0</v>
      </c>
    </row>
    <row r="6" customFormat="false" ht="14.25" hidden="false" customHeight="true" outlineLevel="0" collapsed="false">
      <c r="A6" s="2" t="s">
        <v>19</v>
      </c>
      <c r="B6" s="196"/>
      <c r="C6" s="197"/>
      <c r="I6" s="114" t="s">
        <v>95</v>
      </c>
      <c r="J6" s="198" t="e">
        <f aca="false">IF(A25="CA",0,IF($E$16&lt;0,"",$E$16*(E25/($E$20+$E$25+$E$30+$E$35+$E$40+$E$45+$E$50+$E$55+$E$60+$E$65))))</f>
        <v>#DIV/0!</v>
      </c>
      <c r="K6" s="115" t="e">
        <f aca="false">IF($E$17&lt;0,"",$E$17*(E25/($E$20+$E$25+$E$30+$E$35+$E$40+$E$45+$E$50+$E$55+$E$60+$E$65)))</f>
        <v>#DIV/0!</v>
      </c>
      <c r="L6" s="115" t="e">
        <f aca="false">IF($J$20&lt;0,"",$J$20*(E25/($E$20+$E$25+$E$30+$E$35+$E$40+$E$45+$E$50+$E$55+$E$60+$E$65)))</f>
        <v>#DIV/0!</v>
      </c>
      <c r="O6" s="108" t="s">
        <v>56</v>
      </c>
      <c r="P6" s="113" t="n">
        <f aca="false">IF(A26="Abs sans solde",($B$16*((C26-B26+1)*30)/$F$2)/30,0)</f>
        <v>0</v>
      </c>
    </row>
    <row r="7" customFormat="false" ht="14.25" hidden="false" customHeight="true" outlineLevel="0" collapsed="false">
      <c r="A7" s="2" t="s">
        <v>21</v>
      </c>
      <c r="B7" s="196"/>
      <c r="C7" s="197"/>
      <c r="I7" s="114" t="s">
        <v>96</v>
      </c>
      <c r="J7" s="198" t="e">
        <f aca="false">IF(A30="CA",0,IF($E$16&lt;0,"",$E$16*(E30/($E$20+$E$25+$E$30+$E$35+$E$40+$E$45+$E$50+$E$55+$E$60+$E$65))))</f>
        <v>#DIV/0!</v>
      </c>
      <c r="K7" s="115" t="e">
        <f aca="false">IF($E$17&lt;0,"",$E$17*(E30/($E$20+$E$25+$E$30+$E$35+$E$40+$E$45+$E$50+$E$55+$E$60+$E$65)))</f>
        <v>#DIV/0!</v>
      </c>
      <c r="L7" s="115" t="e">
        <f aca="false">IF($J$20&lt;0,"",$J$20*(E30/($E$20+$E$25+$E$30+$E$35+$E$40+$E$45+$E$50+$E$55+$E$60+$E$65)))</f>
        <v>#DIV/0!</v>
      </c>
      <c r="O7" s="108" t="s">
        <v>59</v>
      </c>
      <c r="P7" s="113" t="n">
        <f aca="false">IF(A31="Abs sans solde",($B$16*((C31-B31+1)*30)/$F$2)/30,0)</f>
        <v>0</v>
      </c>
    </row>
    <row r="8" customFormat="false" ht="14.25" hidden="false" customHeight="true" outlineLevel="0" collapsed="false">
      <c r="I8" s="114" t="s">
        <v>97</v>
      </c>
      <c r="J8" s="198" t="e">
        <f aca="false">IF(A35="CA",0,IF($E$16&lt;0,"",$E$16*(E35/($E$20+$E$25+$E$30+$E$35+$E$40+$E$45+$E$50+$E$55+$E$60+$E$65))))</f>
        <v>#DIV/0!</v>
      </c>
      <c r="K8" s="115" t="e">
        <f aca="false">IF($E$17&lt;0,"",$E$17*(E35/($E$20+$E$25+$E$30+$E$35+$E$40+$E$45+$E$50+$E$55+$E$60+$E$65)))</f>
        <v>#DIV/0!</v>
      </c>
      <c r="L8" s="115" t="e">
        <f aca="false">IF($J$20&lt;0,"",$J$20*(E35/($E$20+$E$25+$E$30+$E$35+$E$40+$E$45+$E$50+$E$55+$E$60+$E$65)))</f>
        <v>#DIV/0!</v>
      </c>
      <c r="O8" s="108" t="s">
        <v>60</v>
      </c>
      <c r="P8" s="113" t="n">
        <f aca="false">IF(A36="Abs sans solde",($B$16*((C36-B36+1)*30)/$F$2)/30,0)</f>
        <v>0</v>
      </c>
    </row>
    <row r="9" customFormat="false" ht="14.25" hidden="false" customHeight="true" outlineLevel="0" collapsed="false">
      <c r="A9" s="117" t="s">
        <v>57</v>
      </c>
      <c r="B9" s="120" t="n">
        <v>1</v>
      </c>
      <c r="C9" s="119" t="s">
        <v>58</v>
      </c>
      <c r="D9" s="120" t="n">
        <v>0.5</v>
      </c>
      <c r="I9" s="114" t="s">
        <v>98</v>
      </c>
      <c r="J9" s="198" t="e">
        <f aca="false">IF(A40="CA",0,IF($E$16&lt;0,"",$E$16*(E40/($E$20+$E$25+$E$30+$E$35+$E$40+$E$45+$E$50+$E$55+$E$60+$E$65))))</f>
        <v>#DIV/0!</v>
      </c>
      <c r="K9" s="115" t="e">
        <f aca="false">IF($E$17&lt;0,"",$E$17*(E40/($E$20+$E$25+$E$30+$E$35+$E$40+$E$45+$E$50+$E$55+$E$60+$E$65)))</f>
        <v>#DIV/0!</v>
      </c>
      <c r="L9" s="115" t="e">
        <f aca="false">IF($J$20&lt;0,"",$J$20*(E40/($E$20+$E$25+$E$30+$E$35+$E$40+$E$45+$E$50+$E$55+$E$60+$E$65)))</f>
        <v>#DIV/0!</v>
      </c>
      <c r="O9" s="108" t="s">
        <v>63</v>
      </c>
      <c r="P9" s="113" t="n">
        <f aca="false">IF(A41="Abs sans solde",($B$16*((C41-B41+1)*30)/$F$2)/30,0)</f>
        <v>0</v>
      </c>
    </row>
    <row r="10" customFormat="false" ht="14.25" hidden="false" customHeight="true" outlineLevel="0" collapsed="false">
      <c r="I10" s="114" t="s">
        <v>66</v>
      </c>
      <c r="J10" s="198" t="e">
        <f aca="false">IF(A45="CA",0,IF($E$16&lt;0,"",$E$16*(E45/($E$20+$E$25+$E$30+$E$35+$E$40+$E$45+$E$50+$E$55+$E$60+$E$65))))</f>
        <v>#DIV/0!</v>
      </c>
      <c r="K10" s="115" t="e">
        <f aca="false">IF($E$17&lt;0,"",$E$17*(E45/($E$20+$E$25+$E$30+$E$35+$E$40+$E$45+$E$50+$E$55+$E$60+$E$65)))</f>
        <v>#DIV/0!</v>
      </c>
      <c r="L10" s="115" t="e">
        <f aca="false">IF($J$20&lt;0,"",$J$20*(E45/($E$20+$E$25+$E$30+$E$35+$E$40+$E$45+$E$50+$E$55+$E$60+$E$65)))</f>
        <v>#DIV/0!</v>
      </c>
      <c r="O10" s="108" t="s">
        <v>66</v>
      </c>
      <c r="P10" s="113" t="n">
        <f aca="false">IF(A46="Abs sans solde",($B$16*((C46-B46+1)*30)/$F$2)/30,0)</f>
        <v>0</v>
      </c>
    </row>
    <row r="11" customFormat="false" ht="14.25" hidden="false" customHeight="true" outlineLevel="0" collapsed="false">
      <c r="A11" s="90" t="s">
        <v>61</v>
      </c>
      <c r="B11" s="121"/>
      <c r="D11" s="90" t="s">
        <v>99</v>
      </c>
      <c r="E11" s="121"/>
      <c r="I11" s="114" t="s">
        <v>67</v>
      </c>
      <c r="J11" s="198" t="e">
        <f aca="false">IF(A50="CA",0,IF($E$16&lt;0,"",$E$16*(E50/($E$20+$E$25+$E$30+$E$35+$E$40+$E$45+$E$50+$E$55+$E$60+$E$65))))</f>
        <v>#DIV/0!</v>
      </c>
      <c r="K11" s="115" t="e">
        <f aca="false">IF($E$17&lt;0,"",$E$17*(E50/($E$20+$E$25+$E$30+$E$35+$E$40+$E$45+$E$50+$E$55+$E$60+$E$65)))</f>
        <v>#DIV/0!</v>
      </c>
      <c r="L11" s="115" t="e">
        <f aca="false">IF($J$20&lt;0,"",$J$20*(E50/($E$20+$E$25+$E$30+$E$35+$E$40+$E$45+$E$50+$E$55+$E$60+$E$65)))</f>
        <v>#DIV/0!</v>
      </c>
      <c r="O11" s="108" t="s">
        <v>67</v>
      </c>
      <c r="P11" s="113" t="n">
        <f aca="false">IF(A51="Abs sans solde",($B$16*((C51-B51+1)*30)/$F$2)/30,0)</f>
        <v>0</v>
      </c>
    </row>
    <row r="12" customFormat="false" ht="14.25" hidden="false" customHeight="true" outlineLevel="0" collapsed="false">
      <c r="A12" s="90" t="s">
        <v>64</v>
      </c>
      <c r="B12" s="121"/>
      <c r="D12" s="90" t="s">
        <v>62</v>
      </c>
      <c r="E12" s="121"/>
      <c r="I12" s="114" t="s">
        <v>68</v>
      </c>
      <c r="J12" s="198" t="e">
        <f aca="false">IF(A55="CA",0,IF($E$16&lt;0,"",$E$16*(E55/($E$20+$E$25+$E$30+$E$35+$E$40+$E$45+$E$50+$E$55+$E$60+$E$65))))</f>
        <v>#DIV/0!</v>
      </c>
      <c r="K12" s="115" t="e">
        <f aca="false">IF($E$17&lt;0,"",$E$17*(E55/($E$20+$E$25+$E$30+$E$35+$E$40+$E$45+$E$50+$E$55+$E$60+$E$65)))</f>
        <v>#DIV/0!</v>
      </c>
      <c r="L12" s="115" t="e">
        <f aca="false">IF($J$20&lt;0,"",$J$20*(E55/($E$20+$E$25+$E$30+$E$35+$E$40+$E$45+$E$50+$E$55+$E$60+$E$65)))</f>
        <v>#DIV/0!</v>
      </c>
      <c r="O12" s="108" t="s">
        <v>68</v>
      </c>
      <c r="P12" s="113" t="n">
        <f aca="false">IF(A56="Abs sans solde",($B$16*((C56-B56+1)*30)/$F$2)/30,0)</f>
        <v>0</v>
      </c>
    </row>
    <row r="13" customFormat="false" ht="14.25" hidden="false" customHeight="true" outlineLevel="0" collapsed="false">
      <c r="B13" s="121"/>
      <c r="E13" s="121"/>
      <c r="I13" s="114" t="s">
        <v>69</v>
      </c>
      <c r="J13" s="198" t="e">
        <f aca="false">IF(A60="CA",0,IF($E$16&lt;0,"",$E$16*(E60/($E$20+$E$25+$E$30+$E$35+$E$40+$E$45+$E$50+$E$55+$E$60+$E$65))))</f>
        <v>#DIV/0!</v>
      </c>
      <c r="K13" s="115" t="e">
        <f aca="false">IF($E$17&lt;0,"",$E$17*(E60/($E$20+$E$25+$E$30+$E$35+$E$40+$E$45+$E$50+$E$55+$E$60+$E$65)))</f>
        <v>#DIV/0!</v>
      </c>
      <c r="L13" s="115" t="e">
        <f aca="false">IF($J$20&lt;0,"",$J$20*(E60/($E$20+$E$25+$E$30+$E$35+$E$40+$E$45+$E$50+$E$55+$E$60+$E$65)))</f>
        <v>#DIV/0!</v>
      </c>
      <c r="O13" s="108" t="s">
        <v>69</v>
      </c>
      <c r="P13" s="113" t="n">
        <f aca="false">IF(A61="Abs sans solde",($B$16*((C61-B61+1)*30)/$F$2)/30,0)</f>
        <v>0</v>
      </c>
    </row>
    <row r="14" customFormat="false" ht="14.25" hidden="false" customHeight="true" outlineLevel="0" collapsed="false">
      <c r="B14" s="121"/>
      <c r="E14" s="121"/>
      <c r="I14" s="125" t="s">
        <v>70</v>
      </c>
      <c r="J14" s="199" t="e">
        <f aca="false">IF(A57="CA",0,IF($E$16&lt;0,"",$E$16*(E65/($E$20+$E$25+$E$30+$E$35+$E$40+$E$45+$E$50+$E$55+$E$60+$E$65))))</f>
        <v>#DIV/0!</v>
      </c>
      <c r="K14" s="126" t="e">
        <f aca="false">IF($E$17&lt;0,"",$E$17*(E65/($E$20+$E$25+$E$30+$E$35+$E$40+$E$45+$E$50+$E$55+$E$60+$E$65)))</f>
        <v>#DIV/0!</v>
      </c>
      <c r="L14" s="126" t="e">
        <f aca="false">IF($J$20&lt;0,"",$J$20*(E65/($E$20+$E$25+$E$30+$E$35+$E$40+$E$45+$E$50+$E$55+$E$60+$E$65)))</f>
        <v>#DIV/0!</v>
      </c>
      <c r="O14" s="108" t="s">
        <v>70</v>
      </c>
      <c r="P14" s="113" t="n">
        <f aca="false">IF(A66="Abs sans solde",($B$16*((C66-B66+1)*30)/$F$2)/30,0)</f>
        <v>0</v>
      </c>
    </row>
    <row r="15" customFormat="false" ht="15" hidden="false" customHeight="true" outlineLevel="0" collapsed="false">
      <c r="B15" s="123"/>
      <c r="E15" s="123"/>
    </row>
    <row r="16" customFormat="false" ht="14.25" hidden="false" customHeight="true" outlineLevel="0" collapsed="false">
      <c r="B16" s="124" t="n">
        <f aca="false">SUM(B11:B15)</f>
        <v>0</v>
      </c>
      <c r="E16" s="124" t="n">
        <f aca="false">SUM(E11:E15)</f>
        <v>0</v>
      </c>
      <c r="I16" s="124"/>
    </row>
    <row r="17" customFormat="false" ht="14.25" hidden="false" customHeight="true" outlineLevel="0" collapsed="false">
      <c r="D17" s="90" t="s">
        <v>100</v>
      </c>
      <c r="E17" s="128"/>
      <c r="G17" s="129"/>
      <c r="H17" s="129"/>
      <c r="I17" s="124"/>
    </row>
    <row r="18" customFormat="false" ht="15" hidden="false" customHeight="true" outlineLevel="0" collapsed="false"/>
    <row r="19" s="137" customFormat="true" ht="15" hidden="false" customHeight="true" outlineLevel="0" collapsed="false">
      <c r="A19" s="134" t="s">
        <v>38</v>
      </c>
      <c r="B19" s="135" t="s">
        <v>74</v>
      </c>
      <c r="C19" s="135" t="s">
        <v>75</v>
      </c>
      <c r="D19" s="135" t="s">
        <v>76</v>
      </c>
      <c r="E19" s="135" t="s">
        <v>77</v>
      </c>
      <c r="F19" s="200" t="n">
        <v>0.21</v>
      </c>
      <c r="G19" s="136" t="s">
        <v>78</v>
      </c>
      <c r="I19" s="201" t="s">
        <v>72</v>
      </c>
      <c r="J19" s="202"/>
    </row>
    <row r="20" customFormat="false" ht="14.25" hidden="false" customHeight="true" outlineLevel="0" collapsed="false">
      <c r="A20" s="203" t="s">
        <v>90</v>
      </c>
      <c r="B20" s="204"/>
      <c r="C20" s="204"/>
      <c r="D20" s="164" t="n">
        <f aca="false">IF(B20="",0,(C20-B20+1))</f>
        <v>0</v>
      </c>
      <c r="E20" s="205" t="n">
        <f aca="false">IF(D20=0,0,IF(A20="CA",0,IF(OR($F$2=30,$F$2=D20),D20*30/$F$2,(D20*30/$F$2)+0.0005)))</f>
        <v>0</v>
      </c>
      <c r="F20" s="206"/>
      <c r="G20" s="141"/>
      <c r="I20" s="132" t="s">
        <v>73</v>
      </c>
      <c r="J20" s="207" t="n">
        <f aca="false">+J19*0.245</f>
        <v>0</v>
      </c>
    </row>
    <row r="21" customFormat="false" ht="14.25" hidden="false" customHeight="true" outlineLevel="0" collapsed="false">
      <c r="A21" s="208"/>
      <c r="B21" s="143"/>
      <c r="C21" s="143"/>
      <c r="E21" s="209" t="n">
        <f aca="false">IF(D20=0,0,IF(A20="ML37",0,IF(OR($F$2=30,$F$2=D20),D20*30/$F$2,(D20*30/$F$2)+0.0005)))</f>
        <v>0</v>
      </c>
      <c r="F21" s="114"/>
      <c r="G21" s="144"/>
    </row>
    <row r="22" customFormat="false" ht="15" hidden="false" customHeight="true" outlineLevel="0" collapsed="false">
      <c r="A22" s="210" t="s">
        <v>79</v>
      </c>
      <c r="B22" s="124" t="n">
        <f aca="false">IF(A20="MALADIE",0,IF(A20="ML37",($B$16*$B$9*E20)/30,($B$16*$B$9*E21)/30))</f>
        <v>0</v>
      </c>
      <c r="C22" s="124"/>
      <c r="D22" s="146" t="e">
        <f aca="false">IF(A20="MALADIE",0,IF(A20="ML37",B22+$J$5+K5+G22,0))</f>
        <v>#DIV/0!</v>
      </c>
      <c r="F22" s="114"/>
      <c r="G22" s="147" t="e">
        <f aca="false">IF($J$23&lt;0,"",$J$23*(E20/($E$20+$E$25+$E$30+$E$35+$E$40+$E$45+$E$50+$E$55+$E$60+$E$65)))</f>
        <v>#DIV/0!</v>
      </c>
    </row>
    <row r="23" s="91" customFormat="true" ht="14.25" hidden="false" customHeight="true" outlineLevel="0" collapsed="false">
      <c r="A23" s="211" t="s">
        <v>81</v>
      </c>
      <c r="B23" s="212" t="n">
        <f aca="false">IF(A20="MALADIE",0,IF(A20="ML37",((($B$16*E20)/30)*$D$9),B22))</f>
        <v>0</v>
      </c>
      <c r="C23" s="213"/>
      <c r="D23" s="151" t="e">
        <f aca="false">IF(A20="MALADIE",0,IF(A20="ML37",(B23+J5+K5+L5+G23),B23))</f>
        <v>#DIV/0!</v>
      </c>
      <c r="F23" s="214" t="n">
        <f aca="false">+IF($E$20&gt;0,D23*$F$19,B23*$F$19)</f>
        <v>0</v>
      </c>
      <c r="G23" s="152" t="e">
        <f aca="false">IF($J$24&lt;0,"",$J$24*(E20/($E$20+$E$25+$E$30+$E$35+$E$40+$E$45+$E$50+$E$55+$E$60+$E$65)))</f>
        <v>#DIV/0!</v>
      </c>
      <c r="I23" s="148" t="s">
        <v>80</v>
      </c>
      <c r="J23" s="149"/>
    </row>
    <row r="24" s="91" customFormat="true" ht="15" hidden="false" customHeight="true" outlineLevel="0" collapsed="false">
      <c r="A24" s="215" t="s">
        <v>22</v>
      </c>
      <c r="B24" s="216"/>
      <c r="C24" s="216"/>
      <c r="D24" s="217" t="e">
        <f aca="false">IF(D22=0,0,D22-D23)</f>
        <v>#DIV/0!</v>
      </c>
      <c r="E24" s="218"/>
      <c r="F24" s="214" t="n">
        <f aca="false">+IF($E$20&gt;0,D24*$F$19,B24*$F$19)</f>
        <v>0</v>
      </c>
      <c r="G24" s="159"/>
      <c r="I24" s="153" t="s">
        <v>82</v>
      </c>
      <c r="J24" s="154"/>
    </row>
    <row r="25" customFormat="false" ht="15" hidden="false" customHeight="true" outlineLevel="0" collapsed="false">
      <c r="A25" s="219"/>
      <c r="B25" s="204"/>
      <c r="C25" s="204"/>
      <c r="D25" s="164" t="n">
        <f aca="false">IF(B25="",0,(C25-B25+1))</f>
        <v>0</v>
      </c>
      <c r="E25" s="205" t="n">
        <f aca="false">IF(D25=0,0,IF(A25="CA",0,IF(OR($F$2=30,$F$2=D25),D25*30/$F$2,(D25*30/$F$2)+0.0005)))</f>
        <v>0</v>
      </c>
      <c r="F25" s="206"/>
      <c r="G25" s="141"/>
      <c r="I25" s="160" t="s">
        <v>83</v>
      </c>
      <c r="J25" s="161" t="n">
        <f aca="false">J23-J24</f>
        <v>0</v>
      </c>
    </row>
    <row r="26" customFormat="false" ht="14.25" hidden="false" customHeight="true" outlineLevel="0" collapsed="false">
      <c r="A26" s="208"/>
      <c r="B26" s="143"/>
      <c r="C26" s="143"/>
      <c r="E26" s="209" t="n">
        <f aca="false">IF(D25=0,0,IF(A25="ML37",0,IF(OR($F$2=30,$F$2=D25),D25*30/$F$2,(D25*30/$F$2)+0.0005)))</f>
        <v>0</v>
      </c>
      <c r="F26" s="114"/>
      <c r="G26" s="166"/>
      <c r="I26" s="93"/>
    </row>
    <row r="27" customFormat="false" ht="14.25" hidden="false" customHeight="true" outlineLevel="0" collapsed="false">
      <c r="A27" s="210" t="s">
        <v>79</v>
      </c>
      <c r="B27" s="124" t="n">
        <f aca="false">IF(A25="MALADIE",0,IF(A25="ML37",($B$16*$B$9*E25)/30,($B$16*$B$9*E26)/30))</f>
        <v>0</v>
      </c>
      <c r="C27" s="124"/>
      <c r="D27" s="146" t="n">
        <f aca="false">IF(A25="MALADIE",0,IF(A25="ML37",B27+$J$6+K6+G27,0))</f>
        <v>0</v>
      </c>
      <c r="F27" s="114"/>
      <c r="G27" s="147" t="e">
        <f aca="false">IF($J$23&lt;0,"",$J$23*(E25/($E$20+$E$25+$E$30+$E$35+$E$40+$E$45+$E$50+$E$55+$E$60+$E$65)))</f>
        <v>#DIV/0!</v>
      </c>
      <c r="I27" s="220"/>
      <c r="L27" s="146"/>
    </row>
    <row r="28" s="91" customFormat="true" ht="14.25" hidden="false" customHeight="true" outlineLevel="0" collapsed="false">
      <c r="A28" s="211" t="s">
        <v>81</v>
      </c>
      <c r="B28" s="212" t="n">
        <f aca="false">IF(A25="MALADIE",0,IF(A25="ML37",((($B$16*E25)/30)*$D$9),B27))</f>
        <v>0</v>
      </c>
      <c r="C28" s="213"/>
      <c r="D28" s="151" t="n">
        <f aca="false">IF(A25="MALADIE",0,IF(A25="ML37",(B28+J6+K6+L6+G28),B28))</f>
        <v>0</v>
      </c>
      <c r="F28" s="214" t="n">
        <f aca="false">+IF($E$25&gt;0,D28*$F$19,B28*$F$19)</f>
        <v>0</v>
      </c>
      <c r="G28" s="152" t="e">
        <f aca="false">IF($J$24&lt;0,"",$J$24*(E25/($E$20+$E$25+$E$30+$E$35+$E$40+$E$45+$E$50+$E$55+$E$60+$E$65)))</f>
        <v>#DIV/0!</v>
      </c>
    </row>
    <row r="29" s="91" customFormat="true" ht="15" hidden="false" customHeight="true" outlineLevel="0" collapsed="false">
      <c r="A29" s="215" t="s">
        <v>22</v>
      </c>
      <c r="B29" s="216"/>
      <c r="C29" s="216"/>
      <c r="D29" s="217" t="n">
        <f aca="false">IF(D27=0,0,D27-D28)</f>
        <v>0</v>
      </c>
      <c r="E29" s="218"/>
      <c r="F29" s="214" t="n">
        <f aca="false">+IF($E$25&gt;0,D29*$F$19,B29*$F$19)</f>
        <v>0</v>
      </c>
      <c r="G29" s="159"/>
    </row>
    <row r="30" customFormat="false" ht="14.25" hidden="false" customHeight="true" outlineLevel="0" collapsed="false">
      <c r="A30" s="219"/>
      <c r="B30" s="204"/>
      <c r="C30" s="204"/>
      <c r="D30" s="164" t="n">
        <f aca="false">IF(B30="",0,(C30-B30+1))</f>
        <v>0</v>
      </c>
      <c r="E30" s="205" t="n">
        <f aca="false">IF(D30=0,0,IF(A30="CA",0,IF(OR($F$2=30,$F$2=D30),D30*30/$F$2,(D30*30/$F$2)+0.0005)))</f>
        <v>0</v>
      </c>
      <c r="F30" s="206"/>
      <c r="G30" s="141"/>
      <c r="I30" s="153" t="s">
        <v>84</v>
      </c>
      <c r="J30" s="168"/>
    </row>
    <row r="31" customFormat="false" ht="14.25" hidden="false" customHeight="true" outlineLevel="0" collapsed="false">
      <c r="A31" s="208"/>
      <c r="B31" s="143"/>
      <c r="C31" s="143"/>
      <c r="E31" s="209" t="n">
        <f aca="false">IF(D30=0,0,IF(A30="ML37",0,IF(OR($F$2=30,$F$2=D30),D30*30/$F$2,(D30*30/$F$2)+0.0005)))</f>
        <v>0</v>
      </c>
      <c r="F31" s="114"/>
      <c r="G31" s="166"/>
    </row>
    <row r="32" customFormat="false" ht="14.25" hidden="false" customHeight="true" outlineLevel="0" collapsed="false">
      <c r="A32" s="210" t="s">
        <v>79</v>
      </c>
      <c r="B32" s="124" t="n">
        <f aca="false">IF(A30="MALADIE",0,IF(A30="ML37",($B$16*$B$9*E30)/30,($B$16*$B$9*E31)/30))</f>
        <v>0</v>
      </c>
      <c r="C32" s="124"/>
      <c r="D32" s="146" t="n">
        <f aca="false">IF(A30="MALADIE",0,IF(A30="ML37",B32+$J$7+K7+G32,0))</f>
        <v>0</v>
      </c>
      <c r="E32" s="165"/>
      <c r="F32" s="114"/>
      <c r="G32" s="147" t="e">
        <f aca="false">IF($J$23&lt;0,"",$J$23*(E30/($E$20+$E$25+$E$30+$E$35+$E$40+$E$45+$E$50+$E$55+$E$60+$E$65)))</f>
        <v>#DIV/0!</v>
      </c>
    </row>
    <row r="33" customFormat="false" ht="14.25" hidden="false" customHeight="true" outlineLevel="0" collapsed="false">
      <c r="A33" s="211" t="s">
        <v>81</v>
      </c>
      <c r="B33" s="212" t="n">
        <f aca="false">IF(A30="MALADIE",0,IF(A30="ML37",((($B$16*E30)/30)*$D$9),B32))</f>
        <v>0</v>
      </c>
      <c r="C33" s="212"/>
      <c r="D33" s="151" t="n">
        <f aca="false">IF(A30="MALADIE",0,IF(A30="ML37",(B33+J7+K7+L7+G33),B33))</f>
        <v>0</v>
      </c>
      <c r="E33" s="165"/>
      <c r="F33" s="221" t="n">
        <f aca="false">+IF($E$30&gt;0,D33*$F$19,B33*$F$19)</f>
        <v>0</v>
      </c>
      <c r="G33" s="152" t="e">
        <f aca="false">IF($J$24&lt;0,"",$J$24*(E30/($E$20+$E$25+$E$30+$E$35+$E$40+$E$45+$E$50+$E$55+$E$60+$E$65)))</f>
        <v>#DIV/0!</v>
      </c>
    </row>
    <row r="34" customFormat="false" ht="15" hidden="false" customHeight="true" outlineLevel="0" collapsed="false">
      <c r="A34" s="215" t="s">
        <v>22</v>
      </c>
      <c r="B34" s="216"/>
      <c r="C34" s="216"/>
      <c r="D34" s="217" t="n">
        <f aca="false">IF(D32=0,0,D32-D33)</f>
        <v>0</v>
      </c>
      <c r="E34" s="158"/>
      <c r="F34" s="221" t="n">
        <f aca="false">+IF($E$30&gt;0,D34*$F$19,B34*$F$19)</f>
        <v>0</v>
      </c>
      <c r="G34" s="159"/>
    </row>
    <row r="35" customFormat="false" ht="14.25" hidden="false" customHeight="true" outlineLevel="0" collapsed="false">
      <c r="A35" s="219"/>
      <c r="B35" s="204"/>
      <c r="C35" s="204"/>
      <c r="D35" s="164" t="n">
        <f aca="false">IF(B35="",0,(C35-B35+1))</f>
        <v>0</v>
      </c>
      <c r="E35" s="205" t="n">
        <f aca="false">IF(D35=0,0,IF(A35="CA",0,IF(OR($F$2=30,$F$2=D35),D35*30/$F$2,(D35*30/$F$2)+0.0005)))</f>
        <v>0</v>
      </c>
      <c r="F35" s="206"/>
      <c r="G35" s="141"/>
      <c r="L35" s="222"/>
    </row>
    <row r="36" customFormat="false" ht="14.25" hidden="false" customHeight="true" outlineLevel="0" collapsed="false">
      <c r="A36" s="208"/>
      <c r="B36" s="143"/>
      <c r="C36" s="143"/>
      <c r="E36" s="209" t="n">
        <f aca="false">IF(D35=0,0,IF(A35="ML37",0,IF(OR($F$2=30,$F$2=D35),D35*30/$F$2,(D35*30/$F$2)+0.0005)))</f>
        <v>0</v>
      </c>
      <c r="F36" s="114"/>
      <c r="G36" s="166"/>
    </row>
    <row r="37" customFormat="false" ht="14.25" hidden="false" customHeight="true" outlineLevel="0" collapsed="false">
      <c r="A37" s="210" t="s">
        <v>79</v>
      </c>
      <c r="B37" s="124" t="n">
        <f aca="false">IF(A35="MALADIE",0,IF(A35="ML37",($B$16*$B$9*E35)/30,($B$16*$B$9*E36)/30))</f>
        <v>0</v>
      </c>
      <c r="C37" s="124"/>
      <c r="D37" s="146" t="n">
        <f aca="false">IF(A35="MALADIE",0,IF(A35="ML37",B37+$J$8+K8+G37,0))</f>
        <v>0</v>
      </c>
      <c r="F37" s="114"/>
      <c r="G37" s="147" t="e">
        <f aca="false">IF($J$23&lt;0,"",$J$23*(E35/($E$20+$E$25+$E$30+$E$35+$E$40+$E$45+$E$50+$E$55+$E$60+$E$65)))</f>
        <v>#DIV/0!</v>
      </c>
    </row>
    <row r="38" customFormat="false" ht="14.25" hidden="false" customHeight="true" outlineLevel="0" collapsed="false">
      <c r="A38" s="211" t="s">
        <v>81</v>
      </c>
      <c r="B38" s="212" t="n">
        <f aca="false">IF(A35="MALADIE",0,IF(A35="ML37",((($B$16*E35)/30)*$D$9),B37))</f>
        <v>0</v>
      </c>
      <c r="C38" s="212"/>
      <c r="D38" s="151" t="n">
        <f aca="false">IF(A35="MALADIE",0,IF(A35="ML37",(B38+J8+K8+L8+G38),B38))</f>
        <v>0</v>
      </c>
      <c r="F38" s="221" t="n">
        <f aca="false">+IF($E$35&gt;0,D38*$F$19,B38*$F$19)</f>
        <v>0</v>
      </c>
      <c r="G38" s="152" t="e">
        <f aca="false">IF($J$24&lt;0,"",$J$24*(E35/($E$20+$E$25+$E$30+$E$35+$E$40+$E$45+$E$50+$E$55+$E$60+$E$65)))</f>
        <v>#DIV/0!</v>
      </c>
    </row>
    <row r="39" customFormat="false" ht="15" hidden="false" customHeight="true" outlineLevel="0" collapsed="false">
      <c r="A39" s="215" t="s">
        <v>22</v>
      </c>
      <c r="B39" s="216"/>
      <c r="C39" s="216"/>
      <c r="D39" s="217" t="n">
        <f aca="false">IF(D37=0,0,D37-D38)</f>
        <v>0</v>
      </c>
      <c r="E39" s="158"/>
      <c r="F39" s="221" t="n">
        <f aca="false">+IF($E$35&gt;0,D39*$F$19,B39*$F$19)</f>
        <v>0</v>
      </c>
      <c r="G39" s="159"/>
    </row>
    <row r="40" customFormat="false" ht="14.25" hidden="false" customHeight="true" outlineLevel="0" collapsed="false">
      <c r="A40" s="219"/>
      <c r="B40" s="204"/>
      <c r="C40" s="204"/>
      <c r="D40" s="164" t="n">
        <f aca="false">IF(B40="",0,(C40-B40+1))</f>
        <v>0</v>
      </c>
      <c r="E40" s="205" t="n">
        <f aca="false">IF(D40=0,0,IF(A40="CA",0,IF(OR($F$2=30,$F$2=D40),D40*30/$F$2,(D40*30/$F$2)+0.0005)))</f>
        <v>0</v>
      </c>
      <c r="F40" s="206"/>
      <c r="G40" s="141"/>
    </row>
    <row r="41" customFormat="false" ht="14.25" hidden="false" customHeight="true" outlineLevel="0" collapsed="false">
      <c r="A41" s="208"/>
      <c r="B41" s="143"/>
      <c r="C41" s="143"/>
      <c r="E41" s="209" t="n">
        <f aca="false">IF(D40=0,0,IF(A40="ML37",0,IF(OR($F$2=30,$F$2=D40),D40*30/$F$2,(D40*30/$F$2)+0.0005)))</f>
        <v>0</v>
      </c>
      <c r="F41" s="114"/>
      <c r="G41" s="166"/>
    </row>
    <row r="42" customFormat="false" ht="14.25" hidden="false" customHeight="true" outlineLevel="0" collapsed="false">
      <c r="A42" s="210" t="s">
        <v>79</v>
      </c>
      <c r="B42" s="124" t="n">
        <f aca="false">IF(A40="MALADIE",0,IF(A40="ML37",($B$16*$B$9*E40)/30,($B$16*$B$9*E41)/30))</f>
        <v>0</v>
      </c>
      <c r="C42" s="124"/>
      <c r="D42" s="146" t="n">
        <f aca="false">IF(A40="MALADIE",0,IF(A40="ML37",B42+$J$9+K9+G42,0))</f>
        <v>0</v>
      </c>
      <c r="F42" s="114"/>
      <c r="G42" s="147" t="e">
        <f aca="false">IF($J$23&lt;0,"",$J$23*(E40/($E$20+$E$25+$E$30+$E$35+$E$40+$E$45+$E$50+$E$55+$E$60+$E$65)))</f>
        <v>#DIV/0!</v>
      </c>
    </row>
    <row r="43" customFormat="false" ht="14.25" hidden="false" customHeight="true" outlineLevel="0" collapsed="false">
      <c r="A43" s="211" t="s">
        <v>81</v>
      </c>
      <c r="B43" s="212" t="n">
        <f aca="false">IF(A40="MALADIE",0,IF(A40="ML37",((($B$16*E40)/30)*$D$9),B42))</f>
        <v>0</v>
      </c>
      <c r="C43" s="212"/>
      <c r="D43" s="151" t="n">
        <f aca="false">IF(A40="MALADIE",0,IF(A40="ML37",(B43+J9+K9+L9+G43),B43))</f>
        <v>0</v>
      </c>
      <c r="F43" s="221" t="n">
        <f aca="false">+IF($E$40&gt;0,D43*$F$19,B43*$F$19)</f>
        <v>0</v>
      </c>
      <c r="G43" s="152" t="e">
        <f aca="false">IF($J$24&lt;0,"",$J$24*(E40/($E$20+$E$25+$E$30+$E$35+$E$40+$E$45+$E$50+$E$55+$E$60+$E$65)))</f>
        <v>#DIV/0!</v>
      </c>
    </row>
    <row r="44" customFormat="false" ht="15" hidden="false" customHeight="true" outlineLevel="0" collapsed="false">
      <c r="A44" s="215" t="s">
        <v>22</v>
      </c>
      <c r="B44" s="216"/>
      <c r="C44" s="216"/>
      <c r="D44" s="217" t="n">
        <f aca="false">IF(D42=0,0,D42-D43)</f>
        <v>0</v>
      </c>
      <c r="E44" s="158"/>
      <c r="F44" s="223" t="n">
        <f aca="false">+IF($E$40&gt;0,D44*$F$19,B44*$F$19)</f>
        <v>0</v>
      </c>
      <c r="G44" s="159"/>
    </row>
    <row r="45" customFormat="false" ht="14.25" hidden="false" customHeight="true" outlineLevel="0" collapsed="false">
      <c r="A45" s="219"/>
      <c r="B45" s="204"/>
      <c r="C45" s="204"/>
      <c r="D45" s="164" t="n">
        <f aca="false">IF(B45="",0,(C45-B45+1))</f>
        <v>0</v>
      </c>
      <c r="E45" s="205" t="n">
        <f aca="false">IF(D45=0,0,IF(A45="CA",0,IF(OR($F$2=30,$F$2=D45),D45*30/$F$2,(D45*30/$F$2)+0.0005)))</f>
        <v>0</v>
      </c>
      <c r="F45" s="206"/>
      <c r="G45" s="141"/>
    </row>
    <row r="46" customFormat="false" ht="14.25" hidden="false" customHeight="true" outlineLevel="0" collapsed="false">
      <c r="A46" s="208"/>
      <c r="B46" s="143"/>
      <c r="C46" s="143"/>
      <c r="E46" s="209" t="n">
        <f aca="false">IF(D45=0,0,IF(A45="ML37",0,IF(OR($F$2=30,$F$2=D45),D45*30/$F$2,(D45*30/$F$2)+0.0005)))</f>
        <v>0</v>
      </c>
      <c r="F46" s="114"/>
      <c r="G46" s="166"/>
    </row>
    <row r="47" customFormat="false" ht="14.25" hidden="false" customHeight="true" outlineLevel="0" collapsed="false">
      <c r="A47" s="210" t="s">
        <v>79</v>
      </c>
      <c r="B47" s="124" t="n">
        <f aca="false">IF(A45="MALADIE",0,IF(A45="ML37",($B$16*$B$9*E45)/30,($B$16*$B$9*E46)/30))</f>
        <v>0</v>
      </c>
      <c r="C47" s="124"/>
      <c r="D47" s="146" t="n">
        <f aca="false">IF(A45="MALADIE",0,IF(A45="ML37",B47+$J$10+K10+G47,0))</f>
        <v>0</v>
      </c>
      <c r="F47" s="114"/>
      <c r="G47" s="147" t="e">
        <f aca="false">IF($J$23&lt;0,"",$J$23*(E45/($E$20+$E$25+$E$30+$E$35+$E$40+$E$45+$E$50+$E$55+$E$60+$E$65)))</f>
        <v>#DIV/0!</v>
      </c>
    </row>
    <row r="48" customFormat="false" ht="14.25" hidden="false" customHeight="true" outlineLevel="0" collapsed="false">
      <c r="A48" s="211" t="s">
        <v>81</v>
      </c>
      <c r="B48" s="212" t="n">
        <f aca="false">IF(A45="MALADIE",0,IF(A45="ML37",((($B$16*E45)/30)*$D$9),B47))</f>
        <v>0</v>
      </c>
      <c r="C48" s="212"/>
      <c r="D48" s="151" t="n">
        <f aca="false">IF(A45="MALADIE",0,IF(A45="ML37",(B48+J10+K10+L10+G48),B48))</f>
        <v>0</v>
      </c>
      <c r="F48" s="221" t="n">
        <f aca="false">+IF($E$45&gt;0,D48*$F$19,B48*$F$19)</f>
        <v>0</v>
      </c>
      <c r="G48" s="152" t="e">
        <f aca="false">IF($J$24&lt;0,"",$J$24*(E45/($E$20+$E$25+$E$30+$E$35+$E$40+$E$45+$E$50+$E$55+$E$60+$E$65)))</f>
        <v>#DIV/0!</v>
      </c>
    </row>
    <row r="49" customFormat="false" ht="15" hidden="false" customHeight="true" outlineLevel="0" collapsed="false">
      <c r="A49" s="215" t="s">
        <v>22</v>
      </c>
      <c r="B49" s="216"/>
      <c r="C49" s="216"/>
      <c r="D49" s="217" t="n">
        <f aca="false">IF(D47=0,0,D47-D48)</f>
        <v>0</v>
      </c>
      <c r="E49" s="158"/>
      <c r="F49" s="223" t="n">
        <f aca="false">+IF($E$45&gt;0,D49*$F$19,B49*$F$19)</f>
        <v>0</v>
      </c>
      <c r="G49" s="159"/>
    </row>
    <row r="50" customFormat="false" ht="14.25" hidden="false" customHeight="true" outlineLevel="0" collapsed="false">
      <c r="A50" s="219"/>
      <c r="B50" s="204"/>
      <c r="C50" s="204"/>
      <c r="D50" s="164" t="n">
        <f aca="false">IF(B50="",0,(C50-B50+1))</f>
        <v>0</v>
      </c>
      <c r="E50" s="205" t="n">
        <f aca="false">IF(D50=0,0,IF(A50="CA",0,IF(OR($F$2=30,$F$2=D50),D50*30/$F$2,(D50*30/$F$2)+0.0005)))</f>
        <v>0</v>
      </c>
      <c r="F50" s="206"/>
      <c r="G50" s="141"/>
    </row>
    <row r="51" customFormat="false" ht="14.25" hidden="false" customHeight="true" outlineLevel="0" collapsed="false">
      <c r="A51" s="208"/>
      <c r="B51" s="143"/>
      <c r="C51" s="143"/>
      <c r="E51" s="209" t="n">
        <f aca="false">IF(D50=0,0,IF(A50="ML37",0,IF(OR($F$2=30,$F$2=D50),D50*30/$F$2,(D50*30/$F$2)+0.0005)))</f>
        <v>0</v>
      </c>
      <c r="F51" s="114"/>
      <c r="G51" s="166"/>
    </row>
    <row r="52" customFormat="false" ht="14.25" hidden="false" customHeight="true" outlineLevel="0" collapsed="false">
      <c r="A52" s="210" t="s">
        <v>79</v>
      </c>
      <c r="B52" s="124" t="n">
        <f aca="false">IF(A50="MALADIE",0,IF(A50="ML37",($B$16*$B$9*E50)/30,($B$16*$B$9*E51)/30))</f>
        <v>0</v>
      </c>
      <c r="C52" s="124"/>
      <c r="D52" s="146" t="n">
        <f aca="false">IF(A50="MALADIE",0,IF(A50="ML37",B52+$J$11+K11+G52,0))</f>
        <v>0</v>
      </c>
      <c r="F52" s="114"/>
      <c r="G52" s="147" t="e">
        <f aca="false">IF($J$23&lt;0,"",$J$23*(E50/($E$20+$E$25+$E$30+$E$35+$E$40+$E$45+$E$50+$E$55+$E$60+$E$65)))</f>
        <v>#DIV/0!</v>
      </c>
    </row>
    <row r="53" customFormat="false" ht="14.25" hidden="false" customHeight="true" outlineLevel="0" collapsed="false">
      <c r="A53" s="211" t="s">
        <v>81</v>
      </c>
      <c r="B53" s="212" t="n">
        <f aca="false">IF(A50="MALADIE",0,IF(A50="ML37",((($B$16*E50)/30)*$D$9),B52))</f>
        <v>0</v>
      </c>
      <c r="C53" s="212"/>
      <c r="D53" s="151" t="n">
        <f aca="false">IF(A50="MALADIE",0,IF(A50="ML37",(B53+J11+K11+L11+G53),B53))</f>
        <v>0</v>
      </c>
      <c r="F53" s="221" t="n">
        <f aca="false">+IF($E$50&gt;0,D53*$F$19,B53*$F$19)</f>
        <v>0</v>
      </c>
      <c r="G53" s="152" t="e">
        <f aca="false">IF($J$24&lt;0,"",$J$24*(E50/($E$20+$E$25+$E$30+$E$35+$E$40+$E$45+$E$50+$E$55+$E$60+$E$65)))</f>
        <v>#DIV/0!</v>
      </c>
    </row>
    <row r="54" customFormat="false" ht="15" hidden="false" customHeight="true" outlineLevel="0" collapsed="false">
      <c r="A54" s="215" t="s">
        <v>22</v>
      </c>
      <c r="B54" s="216"/>
      <c r="C54" s="216"/>
      <c r="D54" s="217" t="n">
        <f aca="false">IF(D52=0,0,D52-D53)</f>
        <v>0</v>
      </c>
      <c r="E54" s="158"/>
      <c r="F54" s="223" t="n">
        <f aca="false">+IF($E$50&gt;0,D54*$F$19,B54*$F$19)</f>
        <v>0</v>
      </c>
      <c r="G54" s="159"/>
    </row>
    <row r="55" customFormat="false" ht="14.25" hidden="false" customHeight="true" outlineLevel="0" collapsed="false">
      <c r="A55" s="219"/>
      <c r="B55" s="204"/>
      <c r="C55" s="204"/>
      <c r="D55" s="164" t="n">
        <f aca="false">IF(B55="",0,(C55-B55+1))</f>
        <v>0</v>
      </c>
      <c r="E55" s="205" t="n">
        <f aca="false">IF(D55=0,0,IF(A55="CA",0,IF(OR($F$2=30,$F$2=D55),D55*30/$F$2,(D55*30/$F$2)+0.0005)))</f>
        <v>0</v>
      </c>
      <c r="F55" s="206"/>
      <c r="G55" s="141"/>
    </row>
    <row r="56" customFormat="false" ht="14.25" hidden="false" customHeight="true" outlineLevel="0" collapsed="false">
      <c r="A56" s="208"/>
      <c r="B56" s="143"/>
      <c r="C56" s="143"/>
      <c r="E56" s="209" t="n">
        <f aca="false">IF(D55=0,0,IF(A55="ML37",0,IF(OR($F$2=30,$F$2=D55),D55*30/$F$2,(D55*30/$F$2)+0.0005)))</f>
        <v>0</v>
      </c>
      <c r="F56" s="114"/>
      <c r="G56" s="166"/>
    </row>
    <row r="57" customFormat="false" ht="14.25" hidden="false" customHeight="true" outlineLevel="0" collapsed="false">
      <c r="A57" s="210" t="s">
        <v>79</v>
      </c>
      <c r="B57" s="124" t="n">
        <f aca="false">IF(A55="MALADIE",0,IF(A55="ML37",($B$16*$B$9*E55)/30,($B$16*$B$9*E56)/30))</f>
        <v>0</v>
      </c>
      <c r="C57" s="124"/>
      <c r="D57" s="146" t="n">
        <f aca="false">IF(A55="MALADIE",0,IF(A55="ML37",B57+$J$12+K12+G57,0))</f>
        <v>0</v>
      </c>
      <c r="F57" s="114"/>
      <c r="G57" s="147" t="e">
        <f aca="false">IF($J$23&lt;0,"",$J$23*(E55/($E$20+$E$25+$E$30+$E$35+$E$40+$E$45+$E$50+$E$55+$E$60+$E$65)))</f>
        <v>#DIV/0!</v>
      </c>
    </row>
    <row r="58" customFormat="false" ht="14.25" hidden="false" customHeight="true" outlineLevel="0" collapsed="false">
      <c r="A58" s="211" t="s">
        <v>81</v>
      </c>
      <c r="B58" s="212" t="n">
        <f aca="false">IF(A55="MALADIE",0,IF(A55="ML37",((($B$16*E55)/30)*$D$9),B57))</f>
        <v>0</v>
      </c>
      <c r="C58" s="212"/>
      <c r="D58" s="151" t="n">
        <f aca="false">IF(A55="MALADIE",0,IF(A55="ML37",(B58+J12+K12+L12+G58),B58))</f>
        <v>0</v>
      </c>
      <c r="F58" s="221" t="n">
        <f aca="false">+IF($E$55&gt;0,D58*$F$19,B58*$F$19)</f>
        <v>0</v>
      </c>
      <c r="G58" s="152" t="e">
        <f aca="false">IF($J$24&lt;0,"",$J$24*(E55/($E$20+$E$25+$E$30+$E$35+$E$40+$E$45+$E$50+$E$55+$E$60+$E$65)))</f>
        <v>#DIV/0!</v>
      </c>
    </row>
    <row r="59" customFormat="false" ht="15" hidden="false" customHeight="true" outlineLevel="0" collapsed="false">
      <c r="A59" s="215" t="s">
        <v>22</v>
      </c>
      <c r="B59" s="216"/>
      <c r="C59" s="216"/>
      <c r="D59" s="217" t="n">
        <f aca="false">IF(D57=0,0,D57-D58)</f>
        <v>0</v>
      </c>
      <c r="E59" s="158"/>
      <c r="F59" s="223" t="n">
        <f aca="false">+IF($E$55&gt;0,D59*$F$19,B59*$F$19)</f>
        <v>0</v>
      </c>
      <c r="G59" s="159"/>
    </row>
    <row r="60" customFormat="false" ht="14.25" hidden="false" customHeight="true" outlineLevel="0" collapsed="false">
      <c r="A60" s="219"/>
      <c r="B60" s="204"/>
      <c r="C60" s="204"/>
      <c r="D60" s="164" t="n">
        <f aca="false">IF(B60="",0,(C60-B60+1))</f>
        <v>0</v>
      </c>
      <c r="E60" s="205" t="n">
        <f aca="false">IF(D60=0,0,IF(A60="CA",0,IF(OR($F$2=30,$F$2=D60),D60*30/$F$2,(D60*30/$F$2)+0.0005)))</f>
        <v>0</v>
      </c>
      <c r="F60" s="206"/>
      <c r="G60" s="141"/>
    </row>
    <row r="61" customFormat="false" ht="14.25" hidden="false" customHeight="true" outlineLevel="0" collapsed="false">
      <c r="A61" s="208"/>
      <c r="B61" s="143"/>
      <c r="C61" s="143"/>
      <c r="E61" s="209" t="n">
        <f aca="false">IF(D60=0,0,IF(A60="ML37",0,IF(OR($F$2=30,$F$2=D60),D60*30/$F$2,(D60*30/$F$2)+0.0005)))</f>
        <v>0</v>
      </c>
      <c r="F61" s="114"/>
      <c r="G61" s="166"/>
    </row>
    <row r="62" customFormat="false" ht="14.25" hidden="false" customHeight="true" outlineLevel="0" collapsed="false">
      <c r="A62" s="210" t="s">
        <v>79</v>
      </c>
      <c r="B62" s="124" t="n">
        <f aca="false">IF(A60="MALADIE",0,IF(A60="ML37",($B$16*$B$9*E60)/30,($B$16*$B$9*E61)/30))</f>
        <v>0</v>
      </c>
      <c r="C62" s="124"/>
      <c r="D62" s="146" t="n">
        <f aca="false">IF(A60="MALADIE",0,IF(A60="ML37",B62+$J$13+K13+G62,0))</f>
        <v>0</v>
      </c>
      <c r="F62" s="114"/>
      <c r="G62" s="147" t="e">
        <f aca="false">IF($J$23&lt;0,"",$J$23*(E60/($E$20+$E$25+$E$30+$E$35+$E$40+$E$45+$E$50+$E$55+$E$60+$E$65)))</f>
        <v>#DIV/0!</v>
      </c>
    </row>
    <row r="63" customFormat="false" ht="14.25" hidden="false" customHeight="true" outlineLevel="0" collapsed="false">
      <c r="A63" s="211" t="s">
        <v>81</v>
      </c>
      <c r="B63" s="212" t="n">
        <f aca="false">IF(A60="MALADIE",0,IF(A60="ML37",((($B$16*E60)/30)*$D$9),B62))</f>
        <v>0</v>
      </c>
      <c r="C63" s="212"/>
      <c r="D63" s="151" t="n">
        <f aca="false">IF(A60="MALADIE",0,IF(A60="ML37",(B63+J13+K13+L13+G63),B63))</f>
        <v>0</v>
      </c>
      <c r="F63" s="221" t="n">
        <f aca="false">+IF($E$55&gt;0,D63*$F$19,B63*$F$19)</f>
        <v>0</v>
      </c>
      <c r="G63" s="152" t="e">
        <f aca="false">IF($J$24&lt;0,"",$J$24*(E60/($E$20+$E$25+$E$30+$E$35+$E$40+$E$45+$E$50+$E$55+$E$60+$E$65)))</f>
        <v>#DIV/0!</v>
      </c>
    </row>
    <row r="64" customFormat="false" ht="15" hidden="false" customHeight="true" outlineLevel="0" collapsed="false">
      <c r="A64" s="215" t="s">
        <v>22</v>
      </c>
      <c r="B64" s="216"/>
      <c r="C64" s="216"/>
      <c r="D64" s="217" t="n">
        <f aca="false">IF(D62=0,0,D62-D63)</f>
        <v>0</v>
      </c>
      <c r="E64" s="158"/>
      <c r="F64" s="223" t="n">
        <f aca="false">+IF($E$55&gt;0,D64*$F$19,B64*$F$19)</f>
        <v>0</v>
      </c>
      <c r="G64" s="159"/>
    </row>
    <row r="65" customFormat="false" ht="14.25" hidden="false" customHeight="true" outlineLevel="0" collapsed="false">
      <c r="A65" s="219"/>
      <c r="B65" s="204"/>
      <c r="C65" s="204"/>
      <c r="D65" s="164" t="n">
        <f aca="false">IF(B65="",0,(C65-B65+1))</f>
        <v>0</v>
      </c>
      <c r="E65" s="205" t="n">
        <f aca="false">IF(D65=0,0,IF(A65="CA",0,IF(OR($F$2=30,$F$2=D65),D65*30/$F$2,(D65*30/$F$2)+0.0005)))</f>
        <v>0</v>
      </c>
      <c r="F65" s="206"/>
      <c r="G65" s="141"/>
    </row>
    <row r="66" customFormat="false" ht="14.25" hidden="false" customHeight="true" outlineLevel="0" collapsed="false">
      <c r="A66" s="208"/>
      <c r="B66" s="143"/>
      <c r="C66" s="143"/>
      <c r="E66" s="209" t="n">
        <f aca="false">IF(D65=0,0,IF(A65="ML37",0,IF(OR($F$2=30,$F$2=D65),D65*30/$F$2,(D65*30/$F$2)+0.0005)))</f>
        <v>0</v>
      </c>
      <c r="F66" s="114"/>
      <c r="G66" s="166"/>
    </row>
    <row r="67" customFormat="false" ht="14.25" hidden="false" customHeight="true" outlineLevel="0" collapsed="false">
      <c r="A67" s="210" t="s">
        <v>79</v>
      </c>
      <c r="B67" s="124" t="n">
        <f aca="false">IF(A65="MALADIE",0,IF(A65="ML37",($B$16*$B$9*E65)/30,($B$16*$B$9*E66)/30))</f>
        <v>0</v>
      </c>
      <c r="C67" s="124"/>
      <c r="D67" s="146" t="n">
        <f aca="false">IF(A65="MALADIE",0,IF(A65="ML37",B67+$J$14+K14+G67,0))</f>
        <v>0</v>
      </c>
      <c r="F67" s="114"/>
      <c r="G67" s="147" t="e">
        <f aca="false">IF($J$23&lt;0,"",$J$23*(E65/($E$20+$E$25+$E$30+$E$35+$E$40+$E$45+$E$50+$E$55+$E$60+$E$65)))</f>
        <v>#DIV/0!</v>
      </c>
    </row>
    <row r="68" customFormat="false" ht="14.25" hidden="false" customHeight="true" outlineLevel="0" collapsed="false">
      <c r="A68" s="211" t="s">
        <v>81</v>
      </c>
      <c r="B68" s="212" t="n">
        <f aca="false">IF(A65="MALADIE",0,IF(A65="ML37",((($B$16*E65)/30)*$D$9),B67))</f>
        <v>0</v>
      </c>
      <c r="C68" s="212"/>
      <c r="D68" s="151" t="n">
        <f aca="false">IF(A65="MALADIE",0,IF(A65="ML37",(B68+J14+K14+L14+G68),B68))</f>
        <v>0</v>
      </c>
      <c r="F68" s="221" t="n">
        <f aca="false">+IF($E$55&gt;0,D68*$F$19,B68*$F$19)</f>
        <v>0</v>
      </c>
      <c r="G68" s="152" t="e">
        <f aca="false">IF($J$24&lt;0,"",$J$24*(E65/($E$20+$E$25+$E$30+$E$35+$E$40+$E$45+$E$50+$E$55+$E$60+$E$65)))</f>
        <v>#DIV/0!</v>
      </c>
    </row>
    <row r="69" customFormat="false" ht="15" hidden="false" customHeight="true" outlineLevel="0" collapsed="false">
      <c r="A69" s="215" t="s">
        <v>22</v>
      </c>
      <c r="B69" s="216"/>
      <c r="C69" s="216"/>
      <c r="D69" s="217" t="n">
        <f aca="false">IF(D67=0,0,D67-D68)</f>
        <v>0</v>
      </c>
      <c r="E69" s="158"/>
      <c r="F69" s="223" t="n">
        <f aca="false">+IF($E$55&gt;0,D69*$F$19,B69*$F$19)</f>
        <v>0</v>
      </c>
      <c r="G69" s="159"/>
    </row>
    <row r="70" customFormat="false" ht="14.25" hidden="false" customHeight="true" outlineLevel="0" collapsed="false">
      <c r="A70" s="224"/>
      <c r="B70" s="225"/>
      <c r="C70" s="225"/>
      <c r="D70" s="226"/>
      <c r="F70" s="124"/>
    </row>
    <row r="71" customFormat="false" ht="14.25" hidden="false" customHeight="true" outlineLevel="0" collapsed="false">
      <c r="A71" s="224"/>
      <c r="B71" s="225"/>
      <c r="C71" s="225"/>
      <c r="D71" s="226"/>
      <c r="F71" s="124"/>
    </row>
    <row r="72" customFormat="false" ht="14.25" hidden="false" customHeight="true" outlineLevel="0" collapsed="false">
      <c r="A72" s="227" t="s">
        <v>101</v>
      </c>
      <c r="B72" s="227"/>
      <c r="C72" s="227"/>
      <c r="D72" s="227"/>
      <c r="E72" s="227"/>
      <c r="F72" s="228" t="e">
        <f aca="false">D23+D28+D33+D38+D43+D48+D53+D58+D63+D68</f>
        <v>#DIV/0!</v>
      </c>
    </row>
    <row r="73" customFormat="false" ht="14.25" hidden="false" customHeight="true" outlineLevel="0" collapsed="false">
      <c r="A73" s="182" t="s">
        <v>102</v>
      </c>
      <c r="B73" s="182"/>
      <c r="C73" s="182"/>
      <c r="D73" s="182"/>
      <c r="E73" s="182"/>
      <c r="F73" s="229" t="e">
        <f aca="false">+D24+D29+D34+D39+D44+D49+D54+D59+D64+D69</f>
        <v>#DIV/0!</v>
      </c>
    </row>
    <row r="74" customFormat="false" ht="15" hidden="false" customHeight="true" outlineLevel="0" collapsed="false"/>
    <row r="75" customFormat="false" ht="15" hidden="false" customHeight="true" outlineLevel="0" collapsed="false">
      <c r="A75" s="184" t="s">
        <v>86</v>
      </c>
      <c r="B75" s="184"/>
      <c r="C75" s="184"/>
      <c r="D75" s="184"/>
      <c r="E75" s="184"/>
      <c r="F75" s="230" t="e">
        <f aca="false">IF(J20&gt;0,D23-$E$17-$J$20+D28+D33+D38+D43+D48+D53+D58+D63+D68,D23-$E$17+D28+D33+D38+D43+D48+D53+D58+D63+D68)</f>
        <v>#DIV/0!</v>
      </c>
      <c r="G75" s="136" t="s">
        <v>78</v>
      </c>
      <c r="H75" s="136" t="s">
        <v>87</v>
      </c>
    </row>
    <row r="76" customFormat="false" ht="14.25" hidden="false" customHeight="true" outlineLevel="0" collapsed="false">
      <c r="A76" s="132" t="s">
        <v>103</v>
      </c>
      <c r="B76" s="132" t="s">
        <v>10</v>
      </c>
      <c r="C76" s="186" t="str">
        <f aca="false">+IF(B20&gt;0,B20,"")</f>
        <v/>
      </c>
      <c r="D76" s="187" t="s">
        <v>88</v>
      </c>
      <c r="E76" s="186" t="str">
        <f aca="false">+IF(C20&gt;0,C20,"")</f>
        <v/>
      </c>
      <c r="F76" s="146" t="e">
        <f aca="false">IF($A$20="CA",0,$D$23-$K$5-$L$5)</f>
        <v>#DIV/0!</v>
      </c>
      <c r="G76" s="124" t="e">
        <f aca="false">G23</f>
        <v>#DIV/0!</v>
      </c>
      <c r="H76" s="188" t="str">
        <f aca="false">IFERROR(IF($J$30&lt;0,"",$J$30*(E20/($E$20+$E$25+$E$30+$E$35+$E$40+$E$45+$E$50+$E$55+$E$60+$E$65))),"")</f>
        <v/>
      </c>
    </row>
    <row r="77" customFormat="false" ht="14.25" hidden="false" customHeight="true" outlineLevel="0" collapsed="false">
      <c r="A77" s="132"/>
      <c r="B77" s="132" t="s">
        <v>89</v>
      </c>
      <c r="C77" s="186" t="str">
        <f aca="false">+IF(B25&gt;0,B25,"")</f>
        <v/>
      </c>
      <c r="D77" s="119" t="s">
        <v>88</v>
      </c>
      <c r="E77" s="186" t="str">
        <f aca="false">+IF(C25&gt;0,C25,"")</f>
        <v/>
      </c>
      <c r="F77" s="146" t="e">
        <f aca="false">IF($A$25="CA",0,$D$28-$K$6-$L$6)</f>
        <v>#DIV/0!</v>
      </c>
      <c r="G77" s="124" t="e">
        <f aca="false">G28</f>
        <v>#DIV/0!</v>
      </c>
      <c r="H77" s="188" t="str">
        <f aca="false">IFERROR(IF($J$30&lt;0,"",$J$30*(E25/($E$20+$E$25+$E$30+$E$35+$E$40+$E$45+$E$50+$E$55+$E$60+$E$65))),"")</f>
        <v/>
      </c>
    </row>
    <row r="78" customFormat="false" ht="14.25" hidden="false" customHeight="true" outlineLevel="0" collapsed="false">
      <c r="A78" s="132"/>
      <c r="B78" s="132" t="s">
        <v>89</v>
      </c>
      <c r="C78" s="186" t="str">
        <f aca="false">+IF(B30&gt;0,B30,"")</f>
        <v/>
      </c>
      <c r="D78" s="119" t="s">
        <v>88</v>
      </c>
      <c r="E78" s="186" t="str">
        <f aca="false">+IF(C30&gt;0,C30,"")</f>
        <v/>
      </c>
      <c r="F78" s="146" t="e">
        <f aca="false">IF($A$30="CA",0,$D$33-$K$7-$L$7)</f>
        <v>#DIV/0!</v>
      </c>
      <c r="G78" s="124" t="e">
        <f aca="false">G33</f>
        <v>#DIV/0!</v>
      </c>
      <c r="H78" s="188" t="str">
        <f aca="false">IFERROR(IF($J$30&lt;0,"",$J$30*(E30/($E$20+$E$25+$E$30+$E$35+$E$40+$E$45+$E$50+$E$55+$E$60+$E$65))),"")</f>
        <v/>
      </c>
      <c r="I78" s="146"/>
    </row>
    <row r="79" customFormat="false" ht="14.25" hidden="false" customHeight="true" outlineLevel="0" collapsed="false">
      <c r="A79" s="132"/>
      <c r="B79" s="132" t="s">
        <v>89</v>
      </c>
      <c r="C79" s="186" t="str">
        <f aca="false">+IF(B35&gt;0,B35,"")</f>
        <v/>
      </c>
      <c r="D79" s="119" t="s">
        <v>88</v>
      </c>
      <c r="E79" s="186" t="str">
        <f aca="false">+IF(C35&gt;0,C35,"")</f>
        <v/>
      </c>
      <c r="F79" s="146" t="e">
        <f aca="false">IF($A$35="CA",0,$D$38-$K$8-$L$8)</f>
        <v>#DIV/0!</v>
      </c>
      <c r="G79" s="124" t="e">
        <f aca="false">G38</f>
        <v>#DIV/0!</v>
      </c>
      <c r="H79" s="188" t="str">
        <f aca="false">IFERROR(IF($J$30&lt;0,"",$J$30*(E35/($E$20+$E$25+$E$30+$E$35+$E$40+$E$45+$E$50+$E$55+$E$60+$E$65))),"")</f>
        <v/>
      </c>
    </row>
    <row r="80" customFormat="false" ht="14.25" hidden="false" customHeight="true" outlineLevel="0" collapsed="false">
      <c r="A80" s="132"/>
      <c r="B80" s="132" t="s">
        <v>89</v>
      </c>
      <c r="C80" s="186" t="str">
        <f aca="false">+IF(B40&gt;0,B40,"")</f>
        <v/>
      </c>
      <c r="D80" s="119" t="s">
        <v>88</v>
      </c>
      <c r="E80" s="186" t="str">
        <f aca="false">+IF(C40&gt;0,C40,"")</f>
        <v/>
      </c>
      <c r="F80" s="146" t="e">
        <f aca="false">IF($A$40="CA",0,$D$43-$K$9-$L$9)</f>
        <v>#DIV/0!</v>
      </c>
      <c r="G80" s="124" t="e">
        <f aca="false">G43</f>
        <v>#DIV/0!</v>
      </c>
      <c r="H80" s="188" t="str">
        <f aca="false">IFERROR(IF($J$30&lt;0,"",$J$30*(E40/($E$20+$E$25+$E$30+$E$35+$E$40+$E$45+$E$50+$E$55+$E$60+$E$65))),"")</f>
        <v/>
      </c>
    </row>
    <row r="81" customFormat="false" ht="14.25" hidden="false" customHeight="true" outlineLevel="0" collapsed="false">
      <c r="B81" s="132" t="s">
        <v>89</v>
      </c>
      <c r="C81" s="186" t="str">
        <f aca="false">+IF(B45&gt;0,B45,"")</f>
        <v/>
      </c>
      <c r="D81" s="119" t="s">
        <v>88</v>
      </c>
      <c r="E81" s="186" t="str">
        <f aca="false">+IF(C45&gt;0,C45,"")</f>
        <v/>
      </c>
      <c r="F81" s="146" t="e">
        <f aca="false">IF($A$45="CA",0,$D$48-$K$10-$L$10)</f>
        <v>#DIV/0!</v>
      </c>
      <c r="G81" s="124" t="e">
        <f aca="false">G48</f>
        <v>#DIV/0!</v>
      </c>
      <c r="H81" s="188" t="str">
        <f aca="false">IFERROR(IF($J$30&lt;0,"",$J$30*(E45/($E$20+$E$25+$E$30+$E$35+$E$40+$E$45+$E$50+$E$55+$E$60+$E$65))),"")</f>
        <v/>
      </c>
    </row>
    <row r="82" customFormat="false" ht="14.25" hidden="false" customHeight="true" outlineLevel="0" collapsed="false">
      <c r="B82" s="132" t="s">
        <v>89</v>
      </c>
      <c r="C82" s="186" t="str">
        <f aca="false">+IF(B50&gt;0,B50,"")</f>
        <v/>
      </c>
      <c r="D82" s="119" t="s">
        <v>88</v>
      </c>
      <c r="E82" s="186" t="str">
        <f aca="false">+IF(C50&gt;0,C50,"")</f>
        <v/>
      </c>
      <c r="F82" s="146" t="e">
        <f aca="false">IF($A$50="CA",0,$D$53-$K$11-$L$11)</f>
        <v>#DIV/0!</v>
      </c>
      <c r="G82" s="124" t="e">
        <f aca="false">G53</f>
        <v>#DIV/0!</v>
      </c>
      <c r="H82" s="188" t="str">
        <f aca="false">IFERROR(IF($J$30&lt;0,"",$J$30*(E50/($E$20+$E$25+$E$30+$E$35+$E$40+$E$45+$E$50+$E$55+$E$60+$E$65))),"")</f>
        <v/>
      </c>
    </row>
    <row r="83" customFormat="false" ht="14.25" hidden="false" customHeight="true" outlineLevel="0" collapsed="false">
      <c r="B83" s="132" t="s">
        <v>89</v>
      </c>
      <c r="C83" s="186" t="str">
        <f aca="false">+IF(B55&gt;0,B55,"")</f>
        <v/>
      </c>
      <c r="D83" s="119" t="s">
        <v>88</v>
      </c>
      <c r="E83" s="186" t="str">
        <f aca="false">+IF(C55&gt;0,C55,"")</f>
        <v/>
      </c>
      <c r="F83" s="146" t="e">
        <f aca="false">IF($A$55="CA",0,$D$58-$K$12-$L$12)</f>
        <v>#DIV/0!</v>
      </c>
      <c r="G83" s="124" t="e">
        <f aca="false">G58</f>
        <v>#DIV/0!</v>
      </c>
      <c r="H83" s="188" t="str">
        <f aca="false">IFERROR(IF($J$30&lt;0,"",$J$30*(E55/($E$20+$E$25+$E$30+$E$35+$E$40+$E$45+$E$50+$E$55+$E$60+$E$65))),"")</f>
        <v/>
      </c>
    </row>
    <row r="84" customFormat="false" ht="14.25" hidden="false" customHeight="true" outlineLevel="0" collapsed="false">
      <c r="B84" s="132" t="s">
        <v>89</v>
      </c>
      <c r="C84" s="186" t="str">
        <f aca="false">+IF(B60&gt;0,B60,"")</f>
        <v/>
      </c>
      <c r="D84" s="119" t="s">
        <v>88</v>
      </c>
      <c r="E84" s="186" t="str">
        <f aca="false">+IF(C60&gt;0,C60,"")</f>
        <v/>
      </c>
      <c r="F84" s="146" t="e">
        <f aca="false">IF($A$60="CA",0,$D$63-$K$13-$L$13)</f>
        <v>#DIV/0!</v>
      </c>
      <c r="G84" s="124" t="e">
        <f aca="false">G63</f>
        <v>#DIV/0!</v>
      </c>
      <c r="H84" s="188" t="str">
        <f aca="false">IFERROR(IF($J$30&lt;0,"",$J$30*(E60/($E$20+$E$25+$E$30+$E$35+$E$40+$E$45+$E$50+$E$55+$E$60+$E$65))),"")</f>
        <v/>
      </c>
    </row>
    <row r="85" customFormat="false" ht="14.25" hidden="false" customHeight="true" outlineLevel="0" collapsed="false">
      <c r="B85" s="132" t="s">
        <v>89</v>
      </c>
      <c r="C85" s="186" t="str">
        <f aca="false">+IF(B65&gt;0,B65,"")</f>
        <v/>
      </c>
      <c r="D85" s="119" t="s">
        <v>88</v>
      </c>
      <c r="E85" s="186" t="str">
        <f aca="false">+IF(C65&gt;0,C65,"")</f>
        <v/>
      </c>
      <c r="F85" s="146" t="e">
        <f aca="false">IF($A$65="CA",0,$D$68-$K$14-$L$14)</f>
        <v>#DIV/0!</v>
      </c>
      <c r="G85" s="124" t="e">
        <f aca="false">G68</f>
        <v>#DIV/0!</v>
      </c>
      <c r="H85" s="188" t="str">
        <f aca="false">IFERROR(IF($J$30&lt;0,"",$J$30*(E65/($E$20+$E$25+$E$30+$E$35+$E$40+$E$45+$E$50+$E$55+$E$60+$E$65))),"")</f>
        <v/>
      </c>
    </row>
    <row r="86" customFormat="false" ht="14.25" hidden="false" customHeight="true" outlineLevel="0" collapsed="false">
      <c r="B86" s="132"/>
      <c r="C86" s="197"/>
      <c r="D86" s="119"/>
      <c r="E86" s="197"/>
      <c r="F86" s="146"/>
    </row>
  </sheetData>
  <mergeCells count="6">
    <mergeCell ref="I3:L3"/>
    <mergeCell ref="D4:E4"/>
    <mergeCell ref="D5:E5"/>
    <mergeCell ref="A72:E72"/>
    <mergeCell ref="A73:E73"/>
    <mergeCell ref="A75:E75"/>
  </mergeCells>
  <dataValidations count="4">
    <dataValidation allowBlank="true" error="Sélectionner un motif connu " errorStyle="stop" errorTitle="Motif non connu" operator="between" prompt="Sélectionner le motif de la période" promptTitle="Motifs" showDropDown="false" showErrorMessage="true" showInputMessage="true" sqref="R1:R4" type="list">
      <formula1>$R$2:$R$4</formula1>
      <formula2>0</formula2>
    </dataValidation>
    <dataValidation allowBlank="true" error="Sélectionner ML37 ou un motif d'absence dans l'onglet en-dessous" errorStyle="stop" errorTitle="Motif non connu" operator="between" prompt="Sélectionner le motif de la période" promptTitle="Motifs" showDropDown="false" showErrorMessage="true" showInputMessage="true" sqref="A25 A30 A35 A40 A45 A50 A55 A60 A65" type="list">
      <formula1>$R$2:$R$4</formula1>
      <formula2>0</formula2>
    </dataValidation>
    <dataValidation allowBlank="true" error="Sélectionner ML37 ou CA ou voir les motifs d'absence dans l'onglet en-dessous" errorStyle="stop" errorTitle="Motif non connu" operator="between" prompt="Sélectionner le motif de la période" promptTitle="Motifs" showDropDown="false" showErrorMessage="true" showInputMessage="true" sqref="A20" type="list">
      <formula1>$R$2:$R$4</formula1>
      <formula2>0</formula2>
    </dataValidation>
    <dataValidation allowBlank="true" error="Merci de sélectionner le motif d'absence dans la liste déroulante" errorStyle="stop" errorTitle="Motif non connu" operator="between" prompt="Sélectionner le motif d'absence" promptTitle="Motifs absences" showDropDown="false" showErrorMessage="true" showInputMessage="true" sqref="A21 A26 A31 A36 A41 A46 A51 A56 A61 A66" type="list">
      <formula1>$S$2:$S$4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38" activeCellId="0" sqref="C38"/>
    </sheetView>
  </sheetViews>
  <sheetFormatPr defaultColWidth="11.4453125" defaultRowHeight="14.25" zeroHeight="false" outlineLevelRow="0" outlineLevelCol="0"/>
  <cols>
    <col collapsed="false" customWidth="true" hidden="false" outlineLevel="0" max="1" min="1" style="90" width="3.66"/>
    <col collapsed="false" customWidth="true" hidden="false" outlineLevel="0" max="3" min="2" style="90" width="15.89"/>
    <col collapsed="false" customWidth="true" hidden="false" outlineLevel="0" max="4" min="4" style="90" width="22.34"/>
    <col collapsed="false" customWidth="true" hidden="false" outlineLevel="0" max="5" min="5" style="90" width="4.44"/>
    <col collapsed="false" customWidth="true" hidden="false" outlineLevel="0" max="7" min="6" style="90" width="16.66"/>
    <col collapsed="false" customWidth="true" hidden="false" outlineLevel="0" max="8" min="8" style="90" width="20.66"/>
  </cols>
  <sheetData>
    <row r="1" customFormat="false" ht="14.25" hidden="false" customHeight="true" outlineLevel="0" collapsed="false">
      <c r="A1" s="231"/>
      <c r="B1" s="231"/>
      <c r="C1" s="231"/>
      <c r="D1" s="231"/>
      <c r="E1" s="231"/>
      <c r="F1" s="231"/>
      <c r="G1" s="231"/>
      <c r="H1" s="231"/>
      <c r="I1" s="231"/>
    </row>
    <row r="2" customFormat="false" ht="33.75" hidden="false" customHeight="true" outlineLevel="0" collapsed="false">
      <c r="A2" s="231"/>
      <c r="B2" s="231"/>
      <c r="C2" s="231"/>
      <c r="D2" s="231"/>
      <c r="E2" s="231"/>
      <c r="F2" s="231"/>
      <c r="G2" s="231"/>
      <c r="H2" s="231"/>
      <c r="I2" s="231"/>
    </row>
    <row r="3" customFormat="false" ht="32.25" hidden="false" customHeight="true" outlineLevel="0" collapsed="false">
      <c r="A3" s="231"/>
      <c r="B3" s="232" t="s">
        <v>104</v>
      </c>
      <c r="C3" s="232"/>
      <c r="D3" s="232"/>
      <c r="E3" s="232"/>
      <c r="F3" s="232"/>
      <c r="G3" s="232"/>
      <c r="H3" s="232"/>
      <c r="I3" s="231"/>
    </row>
    <row r="4" customFormat="false" ht="14.25" hidden="false" customHeight="true" outlineLevel="0" collapsed="false">
      <c r="A4" s="231"/>
      <c r="B4" s="231"/>
      <c r="C4" s="231"/>
      <c r="D4" s="231"/>
      <c r="E4" s="231"/>
      <c r="F4" s="231"/>
      <c r="G4" s="231"/>
      <c r="H4" s="231"/>
      <c r="I4" s="231"/>
    </row>
    <row r="5" customFormat="false" ht="15" hidden="false" customHeight="true" outlineLevel="0" collapsed="false">
      <c r="A5" s="231"/>
      <c r="B5" s="233" t="s">
        <v>105</v>
      </c>
      <c r="C5" s="233"/>
      <c r="D5" s="234" t="s">
        <v>106</v>
      </c>
      <c r="E5" s="234"/>
      <c r="F5" s="231"/>
      <c r="G5" s="231"/>
      <c r="H5" s="234" t="s">
        <v>107</v>
      </c>
      <c r="I5" s="231"/>
    </row>
    <row r="6" customFormat="false" ht="15" hidden="false" customHeight="true" outlineLevel="0" collapsed="false">
      <c r="A6" s="231"/>
      <c r="B6" s="233"/>
      <c r="C6" s="233"/>
      <c r="D6" s="233"/>
      <c r="E6" s="233"/>
      <c r="F6" s="233"/>
      <c r="G6" s="233"/>
      <c r="H6" s="233"/>
      <c r="I6" s="231"/>
    </row>
    <row r="7" customFormat="false" ht="28.5" hidden="false" customHeight="true" outlineLevel="0" collapsed="false">
      <c r="A7" s="231"/>
      <c r="B7" s="235" t="s">
        <v>108</v>
      </c>
      <c r="C7" s="235"/>
      <c r="D7" s="235"/>
      <c r="E7" s="235"/>
      <c r="F7" s="235"/>
      <c r="G7" s="235"/>
      <c r="H7" s="235"/>
      <c r="I7" s="231"/>
    </row>
    <row r="8" customFormat="false" ht="14.25" hidden="false" customHeight="true" outlineLevel="0" collapsed="false">
      <c r="A8" s="231"/>
      <c r="B8" s="231"/>
      <c r="C8" s="231"/>
      <c r="D8" s="231"/>
      <c r="E8" s="231"/>
      <c r="F8" s="231"/>
      <c r="G8" s="231"/>
      <c r="H8" s="231"/>
      <c r="I8" s="231"/>
    </row>
    <row r="9" customFormat="false" ht="17.25" hidden="false" customHeight="true" outlineLevel="0" collapsed="false">
      <c r="A9" s="231"/>
      <c r="B9" s="236" t="s">
        <v>109</v>
      </c>
      <c r="C9" s="236"/>
      <c r="D9" s="236"/>
      <c r="E9" s="236"/>
      <c r="F9" s="236"/>
      <c r="G9" s="236"/>
      <c r="H9" s="236"/>
      <c r="I9" s="231"/>
    </row>
    <row r="10" customFormat="false" ht="15" hidden="false" customHeight="true" outlineLevel="0" collapsed="false">
      <c r="A10" s="231"/>
      <c r="B10" s="237"/>
      <c r="C10" s="237"/>
      <c r="D10" s="237"/>
      <c r="E10" s="237"/>
      <c r="F10" s="237"/>
      <c r="G10" s="237"/>
      <c r="H10" s="237"/>
      <c r="I10" s="231"/>
    </row>
    <row r="11" customFormat="false" ht="14.25" hidden="false" customHeight="true" outlineLevel="0" collapsed="false">
      <c r="A11" s="238"/>
      <c r="B11" s="239" t="s">
        <v>15</v>
      </c>
      <c r="C11" s="240"/>
      <c r="D11" s="241" t="str">
        <f aca="false">IF('MATRICE ML36 VIERGE'!B4&lt;&gt;"",'MATRICE ML36 VIERGE'!B4,IF('MATRICE ML37 VIERGE'!B4&lt;&gt;"",'MATRICE ML37 VIERGE'!B4,""))</f>
        <v/>
      </c>
      <c r="E11" s="241"/>
      <c r="F11" s="241"/>
      <c r="G11" s="241"/>
      <c r="H11" s="241"/>
      <c r="I11" s="238"/>
    </row>
    <row r="12" customFormat="false" ht="14.25" hidden="false" customHeight="true" outlineLevel="0" collapsed="false">
      <c r="A12" s="231"/>
      <c r="B12" s="242"/>
      <c r="C12" s="243"/>
      <c r="D12" s="243"/>
      <c r="E12" s="243"/>
      <c r="F12" s="243"/>
      <c r="G12" s="243"/>
      <c r="H12" s="243"/>
      <c r="I12" s="231"/>
    </row>
    <row r="13" customFormat="false" ht="15" hidden="false" customHeight="true" outlineLevel="0" collapsed="false">
      <c r="A13" s="244"/>
      <c r="B13" s="245" t="s">
        <v>17</v>
      </c>
      <c r="C13" s="237"/>
      <c r="D13" s="241" t="str">
        <f aca="false">IF('MATRICE ML36 VIERGE'!B5&lt;&gt;"",'MATRICE ML36 VIERGE'!B5,IF('MATRICE ML37 VIERGE'!B5&lt;&gt;"",'MATRICE ML37 VIERGE'!B5,""))</f>
        <v/>
      </c>
      <c r="E13" s="241"/>
      <c r="F13" s="241"/>
      <c r="G13" s="241"/>
      <c r="H13" s="241"/>
      <c r="I13" s="244"/>
    </row>
    <row r="14" customFormat="false" ht="14.25" hidden="false" customHeight="true" outlineLevel="0" collapsed="false">
      <c r="A14" s="231"/>
      <c r="B14" s="242"/>
      <c r="C14" s="243"/>
      <c r="D14" s="243"/>
      <c r="E14" s="243"/>
      <c r="F14" s="243"/>
      <c r="G14" s="243"/>
      <c r="H14" s="243"/>
      <c r="I14" s="231"/>
    </row>
    <row r="15" customFormat="false" ht="15" hidden="false" customHeight="true" outlineLevel="0" collapsed="false">
      <c r="A15" s="244"/>
      <c r="B15" s="245" t="s">
        <v>110</v>
      </c>
      <c r="C15" s="237"/>
      <c r="D15" s="246" t="str">
        <f aca="false">IF('MATRICE ML36 VIERGE'!B2&lt;&gt;"",'MATRICE ML36 VIERGE'!B2,IF('MATRICE ML37 VIERGE'!B2&lt;&gt;"",'MATRICE ML37 VIERGE'!B2,""))</f>
        <v/>
      </c>
      <c r="E15" s="246"/>
      <c r="F15" s="246"/>
      <c r="G15" s="246"/>
      <c r="H15" s="246"/>
      <c r="I15" s="244"/>
    </row>
    <row r="16" customFormat="false" ht="14.25" hidden="false" customHeight="true" outlineLevel="0" collapsed="false">
      <c r="A16" s="231"/>
      <c r="B16" s="242"/>
      <c r="C16" s="243"/>
      <c r="D16" s="243"/>
      <c r="E16" s="243"/>
      <c r="F16" s="243"/>
      <c r="G16" s="243"/>
      <c r="H16" s="243"/>
      <c r="I16" s="231"/>
    </row>
    <row r="17" customFormat="false" ht="15" hidden="false" customHeight="true" outlineLevel="0" collapsed="false">
      <c r="A17" s="244"/>
      <c r="B17" s="245" t="s">
        <v>111</v>
      </c>
      <c r="C17" s="244"/>
      <c r="D17" s="241" t="str">
        <f aca="false">IF('MATRICE ML36 VIERGE'!B3&lt;&gt;"",'MATRICE ML36 VIERGE'!B3,IF('MATRICE ML37 VIERGE'!B3&lt;&gt;"",'MATRICE ML37 VIERGE'!B3,""))</f>
        <v/>
      </c>
      <c r="E17" s="241"/>
      <c r="F17" s="241"/>
      <c r="G17" s="241"/>
      <c r="H17" s="241"/>
      <c r="I17" s="244"/>
    </row>
    <row r="18" customFormat="false" ht="14.25" hidden="false" customHeight="true" outlineLevel="0" collapsed="false">
      <c r="A18" s="231"/>
      <c r="B18" s="242"/>
      <c r="C18" s="243"/>
      <c r="D18" s="243"/>
      <c r="E18" s="243"/>
      <c r="F18" s="243"/>
      <c r="G18" s="243"/>
      <c r="H18" s="243"/>
      <c r="I18" s="231"/>
    </row>
    <row r="19" customFormat="false" ht="15" hidden="false" customHeight="true" outlineLevel="0" collapsed="false">
      <c r="A19" s="244"/>
      <c r="B19" s="245" t="s">
        <v>112</v>
      </c>
      <c r="C19" s="244"/>
      <c r="D19" s="247"/>
      <c r="E19" s="247"/>
      <c r="F19" s="247"/>
      <c r="G19" s="247"/>
      <c r="H19" s="247"/>
      <c r="I19" s="244"/>
    </row>
    <row r="20" customFormat="false" ht="15" hidden="false" customHeight="true" outlineLevel="0" collapsed="false">
      <c r="A20" s="244"/>
      <c r="B20" s="245"/>
      <c r="C20" s="244"/>
      <c r="D20" s="248"/>
      <c r="E20" s="248"/>
      <c r="F20" s="248"/>
      <c r="G20" s="248"/>
      <c r="H20" s="248"/>
      <c r="I20" s="244"/>
    </row>
    <row r="21" customFormat="false" ht="15" hidden="false" customHeight="true" outlineLevel="0" collapsed="false">
      <c r="A21" s="244"/>
      <c r="B21" s="245" t="s">
        <v>113</v>
      </c>
      <c r="C21" s="244"/>
      <c r="D21" s="248" t="s">
        <v>114</v>
      </c>
      <c r="E21" s="248"/>
      <c r="F21" s="248" t="s">
        <v>115</v>
      </c>
      <c r="G21" s="248"/>
      <c r="H21" s="248" t="s">
        <v>116</v>
      </c>
      <c r="I21" s="244"/>
    </row>
    <row r="22" customFormat="false" ht="15" hidden="false" customHeight="true" outlineLevel="0" collapsed="false">
      <c r="A22" s="231"/>
      <c r="B22" s="231"/>
      <c r="C22" s="231"/>
      <c r="D22" s="231"/>
      <c r="E22" s="231"/>
      <c r="F22" s="231"/>
      <c r="G22" s="231"/>
      <c r="H22" s="231"/>
      <c r="I22" s="231"/>
    </row>
    <row r="23" customFormat="false" ht="14.25" hidden="false" customHeight="true" outlineLevel="0" collapsed="false">
      <c r="A23" s="231"/>
      <c r="B23" s="249"/>
      <c r="C23" s="249"/>
      <c r="D23" s="250"/>
      <c r="E23" s="251"/>
      <c r="F23" s="252"/>
      <c r="G23" s="250"/>
      <c r="H23" s="253" t="s">
        <v>117</v>
      </c>
      <c r="I23" s="231"/>
    </row>
    <row r="24" customFormat="false" ht="27" hidden="false" customHeight="true" outlineLevel="0" collapsed="false">
      <c r="A24" s="231"/>
      <c r="B24" s="254" t="s">
        <v>118</v>
      </c>
      <c r="C24" s="254"/>
      <c r="D24" s="255" t="s">
        <v>119</v>
      </c>
      <c r="E24" s="255" t="s">
        <v>120</v>
      </c>
      <c r="F24" s="255"/>
      <c r="G24" s="255" t="s">
        <v>87</v>
      </c>
      <c r="H24" s="253"/>
      <c r="I24" s="231"/>
    </row>
    <row r="25" customFormat="false" ht="15" hidden="false" customHeight="true" outlineLevel="0" collapsed="false">
      <c r="A25" s="231"/>
      <c r="B25" s="249" t="s">
        <v>121</v>
      </c>
      <c r="C25" s="256" t="s">
        <v>122</v>
      </c>
      <c r="D25" s="257" t="s">
        <v>123</v>
      </c>
      <c r="E25" s="257"/>
      <c r="F25" s="257"/>
      <c r="G25" s="258"/>
      <c r="H25" s="253"/>
      <c r="I25" s="231"/>
    </row>
    <row r="26" customFormat="false" ht="14.25" hidden="false" customHeight="true" outlineLevel="0" collapsed="false">
      <c r="A26" s="231"/>
      <c r="B26" s="259" t="str">
        <f aca="false">IF('MATRICE ML36 VIERGE'!B21&lt;&gt;"",TEXT('MATRICE ML36 VIERGE'!B21,"jj/mm/aaaa"),IF('MATRICE ML36 VIERGE'!B22&lt;&gt;"",TEXT('MATRICE ML36 VIERGE'!B22,"jj/mm/aaaa"),IF('MATRICE ML37 VIERGE'!B20&lt;&gt;"",TEXT('MATRICE ML37 VIERGE'!B20,"jj/mm/aaaa"),IF('MATRICE ML37 VIERGE'!B21&lt;&gt;"",TEXT('MATRICE ML37 VIERGE'!B21,"jj/mm/aaaa"),""))))</f>
        <v/>
      </c>
      <c r="C26" s="260" t="str">
        <f aca="false">IF('MATRICE ML36 VIERGE'!C21&lt;&gt;"",TEXT('MATRICE ML36 VIERGE'!C21,"jj/mm/aaaa"),IF('MATRICE ML36 VIERGE'!C22&lt;&gt;"",TEXT('MATRICE ML36 VIERGE'!C22,"jj/mm/aaaa"),IF('MATRICE ML37 VIERGE'!C20&lt;&gt;"",TEXT('MATRICE ML37 VIERGE'!C20,"jj/mm/aaaa"),IF('MATRICE ML37 VIERGE'!C21&lt;&gt;"",TEXT('MATRICE ML37 VIERGE'!C21,"jj/mm/aaaa"),""))))</f>
        <v/>
      </c>
      <c r="D26" s="261" t="str">
        <f aca="false">IF(OR('MATRICE ML36 VIERGE'!B21&lt;&gt;"",'MATRICE ML36 VIERGE'!B22&lt;&gt;""),IF(OR(ISNUMBER(SEARCH("maladie",'MATRICE ML36 VIERGE'!A21)),ISNUMBER(SEARCH("maladie",'MATRICE ML36 VIERGE'!A22))),"Maladie",IF(OR('MATRICE ML36 VIERGE'!A21="CA",'MATRICE ML36 VIERGE'!A22="CA",ISNUMBER(SEARCH("jem",'MATRICE ML36 VIERGE'!A21)),ISNUMBER(SEARCH("jem",'MATRICE ML36 VIERGE'!A22)),ISNUMBER(SEARCH("autres absence",'MATRICE ML36 VIERGE'!A21)),ISNUMBER(SEARCH("autres absence",'MATRICE ML36 VIERGE'!A22))),"Congés annuels",IF(OR(ISNUMBER(SEARCH("sans solde",'MATRICE ML36 VIERGE'!A21)),ISNUMBER(SEARCH("sans solde",'MATRICE ML36 VIERGE'!A22))),"Absence sans solde",IFERROR('MATRICE ML36 VIERGE'!F75,"")))),IF(OR('MATRICE ML37 VIERGE'!B20&lt;&gt;"",'MATRICE ML37 VIERGE'!B21&lt;&gt;""),IF(OR(ISNUMBER(SEARCH("maladie",'MATRICE ML37 VIERGE'!A20)),ISNUMBER(SEARCH("maladie",'MATRICE ML37 VIERGE'!A21))),"Maladie",IF(OR('MATRICE ML37 VIERGE'!A20="CA",'MATRICE ML37 VIERGE'!A21="CA",ISNUMBER(SEARCH("jem",'MATRICE ML37 VIERGE'!A20)),ISNUMBER(SEARCH("jem",'MATRICE ML37 VIERGE'!A21)),ISNUMBER(SEARCH("autres absence",'MATRICE ML37 VIERGE'!A20)),ISNUMBER(SEARCH("autres absence",'MATRICE ML37 VIERGE'!A21))),"Congés annuels",IF(OR(ISNUMBER(SEARCH("sans solde",'MATRICE ML37 VIERGE'!A20)),ISNUMBER(SEARCH("sans solde",'MATRICE ML37 VIERGE'!A21))),"Absence sans solde",IFERROR('MATRICE ML37 VIERGE'!F76,"")))),""))</f>
        <v/>
      </c>
      <c r="E26" s="262" t="str">
        <f aca="false">IF(OR('MATRICE ML36 VIERGE'!B21&lt;&gt;"",'MATRICE ML36 VIERGE'!B22&lt;&gt;""),IF(IFERROR('MATRICE ML36 VIERGE'!G75,0)=0,"",'MATRICE ML36 VIERGE'!G75),IF(OR('MATRICE ML37 VIERGE'!B20&lt;&gt;"",'MATRICE ML37 VIERGE'!B21&lt;&gt;""),IF(IFERROR('MATRICE ML37 VIERGE'!G76,0)=0,"",'MATRICE ML37 VIERGE'!G76),""))</f>
        <v/>
      </c>
      <c r="F26" s="262"/>
      <c r="G26" s="263" t="str">
        <f aca="false">IF(OR('MATRICE ML36 VIERGE'!B21&lt;&gt;"",'MATRICE ML36 VIERGE'!B22&lt;&gt;""),IF(IFERROR('MATRICE ML36 VIERGE'!H75,0)=0,"",'MATRICE ML36 VIERGE'!H75),IF(OR('MATRICE ML37 VIERGE'!B20&lt;&gt;"",'MATRICE ML37 VIERGE'!B21&lt;&gt;""),IF(IFERROR('MATRICE ML37 VIERGE'!H76,0)=0,"",'MATRICE ML37 VIERGE'!H76),""))</f>
        <v/>
      </c>
      <c r="H26" s="264" t="str">
        <f aca="false">IF(OR(D26="",D26="Congés annuels",D26="Maladie",D26="Absence sans solde"),"",IF(OR('MATRICE ML36 VIERGE'!B21&lt;&gt;"",'MATRICE ML36 VIERGE'!B22&lt;&gt;""),IFERROR('MATRICE ML36 VIERGE'!$D$8,""),IF(OR('MATRICE ML37 VIERGE'!B20&lt;&gt;"",'MATRICE ML37 VIERGE'!B21&lt;&gt;""),IFERROR('MATRICE ML37 VIERGE'!$D$9,""),"")))</f>
        <v/>
      </c>
      <c r="I26" s="231"/>
    </row>
    <row r="27" customFormat="false" ht="14.25" hidden="false" customHeight="true" outlineLevel="0" collapsed="false">
      <c r="A27" s="231"/>
      <c r="B27" s="265" t="str">
        <f aca="false">IF('MATRICE ML36 VIERGE'!B26&lt;&gt;"",TEXT('MATRICE ML36 VIERGE'!B26,"jj/mm/aaaa"),IF('MATRICE ML36 VIERGE'!B27&lt;&gt;"",TEXT('MATRICE ML36 VIERGE'!B27,"jj/mm/aaaa"),IF('MATRICE ML37 VIERGE'!B25&lt;&gt;"",TEXT('MATRICE ML37 VIERGE'!B25,"jj/mm/aaaa"),IF('MATRICE ML37 VIERGE'!B26&lt;&gt;"",TEXT('MATRICE ML37 VIERGE'!B26,"jj/mm/aaaa"),""))))</f>
        <v/>
      </c>
      <c r="C27" s="266" t="str">
        <f aca="false">IF('MATRICE ML36 VIERGE'!C26&lt;&gt;"",TEXT('MATRICE ML36 VIERGE'!C26,"jj/mm/aaaa"),IF('MATRICE ML36 VIERGE'!C27&lt;&gt;"",TEXT('MATRICE ML36 VIERGE'!C27,"jj/mm/aaaa"),IF('MATRICE ML37 VIERGE'!C25&lt;&gt;"",TEXT('MATRICE ML37 VIERGE'!C25,"jj/mm/aaaa"),IF('MATRICE ML37 VIERGE'!C26&lt;&gt;"",TEXT('MATRICE ML37 VIERGE'!C26,"jj/mm/aaaa"),""))))</f>
        <v/>
      </c>
      <c r="D27" s="267" t="str">
        <f aca="false">IF(OR('MATRICE ML36 VIERGE'!B26&lt;&gt;"",'MATRICE ML36 VIERGE'!B27&lt;&gt;""),IF(OR(ISNUMBER(SEARCH("maladie",'MATRICE ML36 VIERGE'!A26)),ISNUMBER(SEARCH("maladie",'MATRICE ML36 VIERGE'!A27))),"Maladie",IF(OR('MATRICE ML36 VIERGE'!A26="CA",'MATRICE ML36 VIERGE'!A27="CA",ISNUMBER(SEARCH("jem",'MATRICE ML36 VIERGE'!A26)),ISNUMBER(SEARCH("jem",'MATRICE ML36 VIERGE'!A27)),ISNUMBER(SEARCH("autres absence",'MATRICE ML36 VIERGE'!A26)),ISNUMBER(SEARCH("autres absence",'MATRICE ML36 VIERGE'!A27))),"Congés annuels",IF(OR(ISNUMBER(SEARCH("sans solde",'MATRICE ML36 VIERGE'!A26)),ISNUMBER(SEARCH("sans solde",'MATRICE ML36 VIERGE'!A27))),"Absence sans solde",IFERROR('MATRICE ML36 VIERGE'!F76,"")))),IF(OR('MATRICE ML37 VIERGE'!B25&lt;&gt;"",'MATRICE ML37 VIERGE'!B26&lt;&gt;""),IF(OR(ISNUMBER(SEARCH("maladie",'MATRICE ML37 VIERGE'!A25)),ISNUMBER(SEARCH("maladie",'MATRICE ML37 VIERGE'!A26))),"Maladie",IF(OR('MATRICE ML37 VIERGE'!A25="CA",'MATRICE ML37 VIERGE'!A26="CA",ISNUMBER(SEARCH("jem",'MATRICE ML37 VIERGE'!A25)),ISNUMBER(SEARCH("jem",'MATRICE ML37 VIERGE'!A26)),ISNUMBER(SEARCH("autres absence",'MATRICE ML37 VIERGE'!A25)),ISNUMBER(SEARCH("autres absence",'MATRICE ML37 VIERGE'!A26))),"Congés annuels",IF(OR(ISNUMBER(SEARCH("sans solde",'MATRICE ML37 VIERGE'!A25)),ISNUMBER(SEARCH("sans solde",'MATRICE ML37 VIERGE'!A26))),"Absence sans solde",IFERROR('MATRICE ML37 VIERGE'!F77,"")))),""))</f>
        <v/>
      </c>
      <c r="E27" s="268" t="str">
        <f aca="false">IF(OR('MATRICE ML36 VIERGE'!B26&lt;&gt;"",'MATRICE ML36 VIERGE'!B27&lt;&gt;""),IF(IFERROR('MATRICE ML36 VIERGE'!G76,0)=0,"",'MATRICE ML36 VIERGE'!G76),IF(OR('MATRICE ML37 VIERGE'!B25&lt;&gt;"",'MATRICE ML37 VIERGE'!B26&lt;&gt;""),IF(IFERROR('MATRICE ML37 VIERGE'!G77,0)=0,"",'MATRICE ML37 VIERGE'!G77),""))</f>
        <v/>
      </c>
      <c r="F27" s="268"/>
      <c r="G27" s="269" t="str">
        <f aca="false">IF(OR('MATRICE ML36 VIERGE'!B26&lt;&gt;"",'MATRICE ML36 VIERGE'!B27&lt;&gt;""),IF(IFERROR('MATRICE ML36 VIERGE'!H76,0)=0,"",'MATRICE ML36 VIERGE'!H76),IF(OR('MATRICE ML37 VIERGE'!B25&lt;&gt;"",'MATRICE ML37 VIERGE'!B26&lt;&gt;""),IF(IFERROR('MATRICE ML37 VIERGE'!H77,0)=0,"",'MATRICE ML37 VIERGE'!H77),""))</f>
        <v/>
      </c>
      <c r="H27" s="270" t="str">
        <f aca="false">IF(OR(D27="",D27="Congés annuels",D27="Maladie",D27="Absence sans solde"),"",IF(OR('MATRICE ML36 VIERGE'!B26&lt;&gt;"",'MATRICE ML36 VIERGE'!B27&lt;&gt;""),IFERROR('MATRICE ML36 VIERGE'!$D$8,""),IF(OR('MATRICE ML37 VIERGE'!B25&lt;&gt;"",'MATRICE ML37 VIERGE'!B26&lt;&gt;""),IFERROR('MATRICE ML37 VIERGE'!$D$9,""),"")))</f>
        <v/>
      </c>
      <c r="I27" s="231"/>
    </row>
    <row r="28" customFormat="false" ht="14.25" hidden="false" customHeight="true" outlineLevel="0" collapsed="false">
      <c r="A28" s="231"/>
      <c r="B28" s="271" t="str">
        <f aca="false">IF('MATRICE ML36 VIERGE'!B31&lt;&gt;"",TEXT('MATRICE ML36 VIERGE'!B31,"jj/mm/aaaa"),IF('MATRICE ML36 VIERGE'!B32&lt;&gt;"",TEXT('MATRICE ML36 VIERGE'!B32,"jj/mm/aaaa"),IF('MATRICE ML37 VIERGE'!B30&lt;&gt;"",TEXT('MATRICE ML37 VIERGE'!B30,"jj/mm/aaaa"),IF('MATRICE ML37 VIERGE'!B31&lt;&gt;"",TEXT('MATRICE ML37 VIERGE'!B31,"jj/mm/aaaa"),""))))</f>
        <v/>
      </c>
      <c r="C28" s="272" t="str">
        <f aca="false">IF('MATRICE ML36 VIERGE'!C31&lt;&gt;"",TEXT('MATRICE ML36 VIERGE'!C31,"jj/mm/aaaa"),IF('MATRICE ML36 VIERGE'!C32&lt;&gt;"",TEXT('MATRICE ML36 VIERGE'!C32,"jj/mm/aaaa"),IF('MATRICE ML37 VIERGE'!C30&lt;&gt;"",TEXT('MATRICE ML37 VIERGE'!C30,"jj/mm/aaaa"),IF('MATRICE ML37 VIERGE'!C31&lt;&gt;"",TEXT('MATRICE ML37 VIERGE'!C31,"jj/mm/aaaa"),""))))</f>
        <v/>
      </c>
      <c r="D28" s="267" t="str">
        <f aca="false">IF(OR('MATRICE ML36 VIERGE'!B31&lt;&gt;"",'MATRICE ML36 VIERGE'!B32&lt;&gt;""),IF(OR(ISNUMBER(SEARCH("maladie",'MATRICE ML36 VIERGE'!A31)),ISNUMBER(SEARCH("maladie",'MATRICE ML36 VIERGE'!A32))),"Maladie",IF(OR('MATRICE ML36 VIERGE'!A31="CA",'MATRICE ML36 VIERGE'!A32="CA",ISNUMBER(SEARCH("jem",'MATRICE ML36 VIERGE'!A31)),ISNUMBER(SEARCH("jem",'MATRICE ML36 VIERGE'!A32)),ISNUMBER(SEARCH("autres absence",'MATRICE ML36 VIERGE'!A31)),ISNUMBER(SEARCH("autres absence",'MATRICE ML36 VIERGE'!A32))),"Congés annuels",IF(OR(ISNUMBER(SEARCH("sans solde",'MATRICE ML36 VIERGE'!A31)),ISNUMBER(SEARCH("sans solde",'MATRICE ML36 VIERGE'!A32))),"Absence sans solde",IFERROR('MATRICE ML36 VIERGE'!F77,"")))),IF(OR('MATRICE ML37 VIERGE'!B30&lt;&gt;"",'MATRICE ML37 VIERGE'!B31&lt;&gt;""),IF(OR(ISNUMBER(SEARCH("maladie",'MATRICE ML37 VIERGE'!A30)),ISNUMBER(SEARCH("maladie",'MATRICE ML37 VIERGE'!A31))),"Maladie",IF(OR('MATRICE ML37 VIERGE'!A30="CA",'MATRICE ML37 VIERGE'!A31="CA",ISNUMBER(SEARCH("jem",'MATRICE ML37 VIERGE'!A30)),ISNUMBER(SEARCH("jem",'MATRICE ML37 VIERGE'!A31)),ISNUMBER(SEARCH("autres absence",'MATRICE ML37 VIERGE'!A30)),ISNUMBER(SEARCH("autres absence",'MATRICE ML37 VIERGE'!A31))),"Congés annuels",IF(OR(ISNUMBER(SEARCH("sans solde",'MATRICE ML37 VIERGE'!A30)),ISNUMBER(SEARCH("sans solde",'MATRICE ML37 VIERGE'!A31))),"Absence sans solde",IFERROR('MATRICE ML37 VIERGE'!F78,"")))),""))</f>
        <v/>
      </c>
      <c r="E28" s="268" t="str">
        <f aca="false">IF(OR('MATRICE ML36 VIERGE'!B31&lt;&gt;"",'MATRICE ML36 VIERGE'!B32&lt;&gt;""),IF(IFERROR('MATRICE ML36 VIERGE'!G77,0)=0,"",'MATRICE ML36 VIERGE'!G77),IF(OR('MATRICE ML37 VIERGE'!B30&lt;&gt;"",'MATRICE ML37 VIERGE'!B31&lt;&gt;""),IF(IFERROR('MATRICE ML37 VIERGE'!G78,0)=0,"",'MATRICE ML37 VIERGE'!G78),""))</f>
        <v/>
      </c>
      <c r="F28" s="268"/>
      <c r="G28" s="263" t="str">
        <f aca="false">IF(OR('MATRICE ML36 VIERGE'!B31&lt;&gt;"",'MATRICE ML36 VIERGE'!B32&lt;&gt;""),IF(IFERROR('MATRICE ML36 VIERGE'!H77,0)=0,"",'MATRICE ML36 VIERGE'!H77),IF(OR('MATRICE ML37 VIERGE'!B30&lt;&gt;"",'MATRICE ML37 VIERGE'!B31&lt;&gt;""),IF(IFERROR('MATRICE ML37 VIERGE'!H78,0)=0,"",'MATRICE ML37 VIERGE'!H78),""))</f>
        <v/>
      </c>
      <c r="H28" s="270" t="str">
        <f aca="false">IF(OR(D28="",D28="Congés annuels",D28="Maladie",D28="Absence sans solde"),"",IF(OR('MATRICE ML36 VIERGE'!B31&lt;&gt;"",'MATRICE ML36 VIERGE'!B32&lt;&gt;""),IFERROR('MATRICE ML36 VIERGE'!$D$8,""),IF(OR('MATRICE ML37 VIERGE'!B30&lt;&gt;"",'MATRICE ML37 VIERGE'!B31&lt;&gt;""),IFERROR('MATRICE ML37 VIERGE'!$D$9,""),"")))</f>
        <v/>
      </c>
      <c r="I28" s="231"/>
    </row>
    <row r="29" customFormat="false" ht="14.25" hidden="false" customHeight="true" outlineLevel="0" collapsed="false">
      <c r="A29" s="231"/>
      <c r="B29" s="271" t="str">
        <f aca="false">IF('MATRICE ML36 VIERGE'!B36&lt;&gt;"",TEXT('MATRICE ML36 VIERGE'!B36,"jj/mm/aaaa"),IF('MATRICE ML36 VIERGE'!B37&lt;&gt;"",TEXT('MATRICE ML36 VIERGE'!B37,"jj/mm/aaaa"),IF('MATRICE ML37 VIERGE'!B35&lt;&gt;"",TEXT('MATRICE ML37 VIERGE'!B35,"jj/mm/aaaa"),IF('MATRICE ML37 VIERGE'!B36&lt;&gt;"",TEXT('MATRICE ML37 VIERGE'!B36,"jj/mm/aaaa"),""))))</f>
        <v/>
      </c>
      <c r="C29" s="272" t="str">
        <f aca="false">IF('MATRICE ML36 VIERGE'!C36&lt;&gt;"",TEXT('MATRICE ML36 VIERGE'!C36,"jj/mm/aaaa"),IF('MATRICE ML36 VIERGE'!C37&lt;&gt;"",TEXT('MATRICE ML36 VIERGE'!C37,"jj/mm/aaaa"),IF('MATRICE ML37 VIERGE'!C35&lt;&gt;"",TEXT('MATRICE ML37 VIERGE'!C35,"jj/mm/aaaa"),IF('MATRICE ML37 VIERGE'!C36&lt;&gt;"",TEXT('MATRICE ML37 VIERGE'!C36,"jj/mm/aaaa"),""))))</f>
        <v/>
      </c>
      <c r="D29" s="267" t="str">
        <f aca="false">IF(OR('MATRICE ML36 VIERGE'!B36&lt;&gt;"",'MATRICE ML36 VIERGE'!B37&lt;&gt;""),IF(OR(ISNUMBER(SEARCH("maladie",'MATRICE ML36 VIERGE'!A36)),ISNUMBER(SEARCH("maladie",'MATRICE ML36 VIERGE'!A37))),"Maladie",IF(OR('MATRICE ML36 VIERGE'!A36="CA",'MATRICE ML36 VIERGE'!A37="CA",ISNUMBER(SEARCH("jem",'MATRICE ML36 VIERGE'!A36)),ISNUMBER(SEARCH("jem",'MATRICE ML36 VIERGE'!A37)),ISNUMBER(SEARCH("autres absence",'MATRICE ML36 VIERGE'!A36)),ISNUMBER(SEARCH("autres absence",'MATRICE ML36 VIERGE'!A37))),"Congés annuels",IF(OR(ISNUMBER(SEARCH("sans solde",'MATRICE ML36 VIERGE'!A36)),ISNUMBER(SEARCH("sans solde",'MATRICE ML36 VIERGE'!A37))),"Absence sans solde",IFERROR('MATRICE ML36 VIERGE'!F78,"")))),IF(OR('MATRICE ML37 VIERGE'!B35&lt;&gt;"",'MATRICE ML37 VIERGE'!B36&lt;&gt;""),IF(OR(ISNUMBER(SEARCH("maladie",'MATRICE ML37 VIERGE'!A35)),ISNUMBER(SEARCH("maladie",'MATRICE ML37 VIERGE'!A36))),"Maladie",IF(OR('MATRICE ML37 VIERGE'!A35="CA",'MATRICE ML37 VIERGE'!A36="CA",ISNUMBER(SEARCH("jem",'MATRICE ML37 VIERGE'!A35)),ISNUMBER(SEARCH("jem",'MATRICE ML37 VIERGE'!A36)),ISNUMBER(SEARCH("autres absence",'MATRICE ML37 VIERGE'!A35)),ISNUMBER(SEARCH("autres absence",'MATRICE ML37 VIERGE'!A36))),"Congés annuels",IF(OR(ISNUMBER(SEARCH("sans solde",'MATRICE ML37 VIERGE'!A35)),ISNUMBER(SEARCH("sans solde",'MATRICE ML37 VIERGE'!A36))),"Absence sans solde",IFERROR('MATRICE ML37 VIERGE'!F79,"")))),""))</f>
        <v/>
      </c>
      <c r="E29" s="268" t="str">
        <f aca="false">IF(OR('MATRICE ML36 VIERGE'!B36&lt;&gt;"",'MATRICE ML36 VIERGE'!B37&lt;&gt;""),IF(IFERROR('MATRICE ML36 VIERGE'!G78,0)=0,"",'MATRICE ML36 VIERGE'!G78),IF(OR('MATRICE ML37 VIERGE'!B35&lt;&gt;"",'MATRICE ML37 VIERGE'!B36&lt;&gt;""),IF(IFERROR('MATRICE ML37 VIERGE'!G79,0)=0,"",'MATRICE ML37 VIERGE'!G79),""))</f>
        <v/>
      </c>
      <c r="F29" s="268"/>
      <c r="G29" s="263" t="str">
        <f aca="false">IF(OR('MATRICE ML36 VIERGE'!B36&lt;&gt;"",'MATRICE ML36 VIERGE'!B37&lt;&gt;""),IF(IFERROR('MATRICE ML36 VIERGE'!H78,0)=0,"",'MATRICE ML36 VIERGE'!H78),IF(OR('MATRICE ML37 VIERGE'!B35&lt;&gt;"",'MATRICE ML37 VIERGE'!B36&lt;&gt;""),IF(IFERROR('MATRICE ML37 VIERGE'!H79,0)=0,"",'MATRICE ML37 VIERGE'!H79),""))</f>
        <v/>
      </c>
      <c r="H29" s="270" t="str">
        <f aca="false">IF(OR(D29="",D29="Congés annuels",D29="Maladie",D29="Absence sans solde"),"",IF(OR('MATRICE ML36 VIERGE'!B36&lt;&gt;"",'MATRICE ML36 VIERGE'!B37&lt;&gt;""),IFERROR('MATRICE ML36 VIERGE'!$D$8,""),IF(OR('MATRICE ML37 VIERGE'!B35&lt;&gt;"",'MATRICE ML37 VIERGE'!B36&lt;&gt;""),IFERROR('MATRICE ML37 VIERGE'!$D$9,""),"")))</f>
        <v/>
      </c>
      <c r="I29" s="231"/>
    </row>
    <row r="30" customFormat="false" ht="14.25" hidden="false" customHeight="true" outlineLevel="0" collapsed="false">
      <c r="A30" s="231"/>
      <c r="B30" s="271" t="str">
        <f aca="false">IF('MATRICE ML36 VIERGE'!B41&lt;&gt;"",TEXT('MATRICE ML36 VIERGE'!B41,"jj/mm/aaaa"),IF('MATRICE ML36 VIERGE'!B42&lt;&gt;"",TEXT('MATRICE ML36 VIERGE'!B42,"jj/mm/aaaa"),IF('MATRICE ML37 VIERGE'!B40&lt;&gt;"",TEXT('MATRICE ML37 VIERGE'!B40,"jj/mm/aaaa"),IF('MATRICE ML37 VIERGE'!B41&lt;&gt;"",TEXT('MATRICE ML37 VIERGE'!B41,"jj/mm/aaaa"),""))))</f>
        <v/>
      </c>
      <c r="C30" s="272" t="str">
        <f aca="false">IF('MATRICE ML36 VIERGE'!C41&lt;&gt;"",TEXT('MATRICE ML36 VIERGE'!C41,"jj/mm/aaaa"),IF('MATRICE ML36 VIERGE'!C42&lt;&gt;"",TEXT('MATRICE ML36 VIERGE'!C42,"jj/mm/aaaa"),IF('MATRICE ML37 VIERGE'!C40&lt;&gt;"",TEXT('MATRICE ML37 VIERGE'!C40,"jj/mm/aaaa"),IF('MATRICE ML37 VIERGE'!C41&lt;&gt;"",TEXT('MATRICE ML37 VIERGE'!C41,"jj/mm/aaaa"),""))))</f>
        <v/>
      </c>
      <c r="D30" s="267" t="str">
        <f aca="false">IF(OR('MATRICE ML36 VIERGE'!B41&lt;&gt;"",'MATRICE ML36 VIERGE'!B42&lt;&gt;""),IF(OR(ISNUMBER(SEARCH("maladie",'MATRICE ML36 VIERGE'!A41)),ISNUMBER(SEARCH("maladie",'MATRICE ML36 VIERGE'!A42))),"Maladie",IF(OR('MATRICE ML36 VIERGE'!A41="CA",'MATRICE ML36 VIERGE'!A42="CA",ISNUMBER(SEARCH("jem",'MATRICE ML36 VIERGE'!A41)),ISNUMBER(SEARCH("jem",'MATRICE ML36 VIERGE'!A42)),ISNUMBER(SEARCH("autres absence",'MATRICE ML36 VIERGE'!A41)),ISNUMBER(SEARCH("autres absence",'MATRICE ML36 VIERGE'!A42))),"Congés annuels",IF(OR(ISNUMBER(SEARCH("sans solde",'MATRICE ML36 VIERGE'!A41)),ISNUMBER(SEARCH("sans solde",'MATRICE ML36 VIERGE'!A42))),"Absence sans solde",IFERROR('MATRICE ML36 VIERGE'!F79,"")))),IF(OR('MATRICE ML37 VIERGE'!B40&lt;&gt;"",'MATRICE ML37 VIERGE'!B41&lt;&gt;""),IF(OR(ISNUMBER(SEARCH("maladie",'MATRICE ML37 VIERGE'!A40)),ISNUMBER(SEARCH("maladie",'MATRICE ML37 VIERGE'!A41))),"Maladie",IF(OR('MATRICE ML37 VIERGE'!A40="CA",'MATRICE ML37 VIERGE'!A41="CA",ISNUMBER(SEARCH("jem",'MATRICE ML37 VIERGE'!A40)),ISNUMBER(SEARCH("jem",'MATRICE ML37 VIERGE'!A41)),ISNUMBER(SEARCH("autres absence",'MATRICE ML37 VIERGE'!A40)),ISNUMBER(SEARCH("autres absence",'MATRICE ML37 VIERGE'!A41))),"Congés annuels",IF(OR(ISNUMBER(SEARCH("sans solde",'MATRICE ML37 VIERGE'!A40)),ISNUMBER(SEARCH("sans solde",'MATRICE ML37 VIERGE'!A41))),"Absence sans solde",IFERROR('MATRICE ML37 VIERGE'!F80,"")))),""))</f>
        <v/>
      </c>
      <c r="E30" s="268" t="str">
        <f aca="false">IF(OR('MATRICE ML36 VIERGE'!B41&lt;&gt;"",'MATRICE ML36 VIERGE'!B42&lt;&gt;""),IF(IFERROR('MATRICE ML36 VIERGE'!G79,0)=0,"",'MATRICE ML36 VIERGE'!G79),IF(OR('MATRICE ML37 VIERGE'!B40&lt;&gt;"",'MATRICE ML37 VIERGE'!B41&lt;&gt;""),IF(IFERROR('MATRICE ML37 VIERGE'!G80,0)=0,"",'MATRICE ML37 VIERGE'!G80),""))</f>
        <v/>
      </c>
      <c r="F30" s="268"/>
      <c r="G30" s="263" t="str">
        <f aca="false">IF(OR('MATRICE ML36 VIERGE'!B41&lt;&gt;"",'MATRICE ML36 VIERGE'!B42&lt;&gt;""),IF(IFERROR('MATRICE ML36 VIERGE'!H79,0)=0,"",'MATRICE ML36 VIERGE'!H79),IF(OR('MATRICE ML37 VIERGE'!B40&lt;&gt;"",'MATRICE ML37 VIERGE'!B41&lt;&gt;""),IF(IFERROR('MATRICE ML37 VIERGE'!H80,0)=0,"",'MATRICE ML37 VIERGE'!H80),""))</f>
        <v/>
      </c>
      <c r="H30" s="270" t="str">
        <f aca="false">IF(OR(D30="",D30="Congés annuels",D30="Maladie",D30="Absence sans solde"),"",IF(OR('MATRICE ML36 VIERGE'!B41&lt;&gt;"",'MATRICE ML36 VIERGE'!B42&lt;&gt;""),IFERROR('MATRICE ML36 VIERGE'!$D$8,""),IF(OR('MATRICE ML37 VIERGE'!B40&lt;&gt;"",'MATRICE ML37 VIERGE'!B41&lt;&gt;""),IFERROR('MATRICE ML37 VIERGE'!$D$9,""),"")))</f>
        <v/>
      </c>
      <c r="I30" s="231"/>
    </row>
    <row r="31" customFormat="false" ht="14.25" hidden="false" customHeight="true" outlineLevel="0" collapsed="false">
      <c r="A31" s="231"/>
      <c r="B31" s="271" t="str">
        <f aca="false">IF('MATRICE ML36 VIERGE'!B46&lt;&gt;"",TEXT('MATRICE ML36 VIERGE'!B46,"jj/mm/aaaa"),IF('MATRICE ML36 VIERGE'!B47&lt;&gt;"",TEXT('MATRICE ML36 VIERGE'!B47,"jj/mm/aaaa"),IF('MATRICE ML37 VIERGE'!B45&lt;&gt;"",TEXT('MATRICE ML37 VIERGE'!B45,"jj/mm/aaaa"),IF('MATRICE ML37 VIERGE'!B46&lt;&gt;"",TEXT('MATRICE ML37 VIERGE'!B46,"jj/mm/aaaa"),""))))</f>
        <v/>
      </c>
      <c r="C31" s="272" t="str">
        <f aca="false">IF('MATRICE ML36 VIERGE'!C46&lt;&gt;"",TEXT('MATRICE ML36 VIERGE'!C46,"jj/mm/aaaa"),IF('MATRICE ML36 VIERGE'!C47&lt;&gt;"",TEXT('MATRICE ML36 VIERGE'!C47,"jj/mm/aaaa"),IF('MATRICE ML37 VIERGE'!C45&lt;&gt;"",TEXT('MATRICE ML37 VIERGE'!C45,"jj/mm/aaaa"),IF('MATRICE ML37 VIERGE'!C46&lt;&gt;"",TEXT('MATRICE ML37 VIERGE'!C46,"jj/mm/aaaa"),""))))</f>
        <v/>
      </c>
      <c r="D31" s="267" t="str">
        <f aca="false">IF(OR('MATRICE ML36 VIERGE'!B46&lt;&gt;"",'MATRICE ML36 VIERGE'!B47&lt;&gt;""),IF(OR(ISNUMBER(SEARCH("maladie",'MATRICE ML36 VIERGE'!A46)),ISNUMBER(SEARCH("maladie",'MATRICE ML36 VIERGE'!A47))),"Maladie",IF(OR('MATRICE ML36 VIERGE'!A46="CA",'MATRICE ML36 VIERGE'!A47="CA",ISNUMBER(SEARCH("jem",'MATRICE ML36 VIERGE'!A46)),ISNUMBER(SEARCH("jem",'MATRICE ML36 VIERGE'!A47)),ISNUMBER(SEARCH("autres absence",'MATRICE ML36 VIERGE'!A46)),ISNUMBER(SEARCH("autres absence",'MATRICE ML36 VIERGE'!A47))),"Congés annuels",IF(OR(ISNUMBER(SEARCH("sans solde",'MATRICE ML36 VIERGE'!A46)),ISNUMBER(SEARCH("sans solde",'MATRICE ML36 VIERGE'!A47))),"Absence sans solde",IFERROR('MATRICE ML36 VIERGE'!F80,"")))),IF(OR('MATRICE ML37 VIERGE'!B45&lt;&gt;"",'MATRICE ML37 VIERGE'!B46&lt;&gt;""),IF(OR(ISNUMBER(SEARCH("maladie",'MATRICE ML37 VIERGE'!A45)),ISNUMBER(SEARCH("maladie",'MATRICE ML37 VIERGE'!A46))),"Maladie",IF(OR('MATRICE ML37 VIERGE'!A45="CA",'MATRICE ML37 VIERGE'!A46="CA",ISNUMBER(SEARCH("jem",'MATRICE ML37 VIERGE'!A45)),ISNUMBER(SEARCH("jem",'MATRICE ML37 VIERGE'!A46)),ISNUMBER(SEARCH("autres absence",'MATRICE ML37 VIERGE'!A45)),ISNUMBER(SEARCH("autres absence",'MATRICE ML37 VIERGE'!A46))),"Congés annuels",IF(OR(ISNUMBER(SEARCH("sans solde",'MATRICE ML37 VIERGE'!A45)),ISNUMBER(SEARCH("sans solde",'MATRICE ML37 VIERGE'!A46))),"Absence sans solde",IFERROR('MATRICE ML37 VIERGE'!F81,"")))),""))</f>
        <v/>
      </c>
      <c r="E31" s="268" t="str">
        <f aca="false">IF(OR('MATRICE ML36 VIERGE'!B46&lt;&gt;"",'MATRICE ML36 VIERGE'!B47&lt;&gt;""),IF(IFERROR('MATRICE ML36 VIERGE'!G80,0)=0,"",'MATRICE ML36 VIERGE'!G80),IF(OR('MATRICE ML37 VIERGE'!B45&lt;&gt;"",'MATRICE ML37 VIERGE'!B46&lt;&gt;""),IF(IFERROR('MATRICE ML37 VIERGE'!G81,0)=0,"",'MATRICE ML37 VIERGE'!G81),""))</f>
        <v/>
      </c>
      <c r="F31" s="268"/>
      <c r="G31" s="263" t="str">
        <f aca="false">IF(OR('MATRICE ML36 VIERGE'!B46&lt;&gt;"",'MATRICE ML36 VIERGE'!B47&lt;&gt;""),IF(IFERROR('MATRICE ML36 VIERGE'!H80,0)=0,"",'MATRICE ML36 VIERGE'!H80),IF(OR('MATRICE ML37 VIERGE'!B45&lt;&gt;"",'MATRICE ML37 VIERGE'!B46&lt;&gt;""),IF(IFERROR('MATRICE ML37 VIERGE'!H81,0)=0,"",'MATRICE ML37 VIERGE'!H81),""))</f>
        <v/>
      </c>
      <c r="H31" s="270" t="str">
        <f aca="false">IF(OR(D31="",D31="Congés annuels",D31="Maladie",D31="Absence sans solde"),"",IF(OR('MATRICE ML36 VIERGE'!B46&lt;&gt;"",'MATRICE ML36 VIERGE'!B47&lt;&gt;""),IFERROR('MATRICE ML36 VIERGE'!$D$8,""),IF(OR('MATRICE ML37 VIERGE'!B45&lt;&gt;"",'MATRICE ML37 VIERGE'!B46&lt;&gt;""),IFERROR('MATRICE ML37 VIERGE'!$D$9,""),"")))</f>
        <v/>
      </c>
      <c r="I31" s="231"/>
    </row>
    <row r="32" customFormat="false" ht="15" hidden="false" customHeight="true" outlineLevel="0" collapsed="false">
      <c r="A32" s="231"/>
      <c r="B32" s="273" t="str">
        <f aca="false">IF('MATRICE ML36 VIERGE'!B51&lt;&gt;"",TEXT('MATRICE ML36 VIERGE'!B51,"jj/mm/aaaa"),IF('MATRICE ML36 VIERGE'!B52&lt;&gt;"",TEXT('MATRICE ML36 VIERGE'!B52,"jj/mm/aaaa"),IF('MATRICE ML37 VIERGE'!B50&lt;&gt;"",TEXT('MATRICE ML37 VIERGE'!B50,"jj/mm/aaaa"),IF('MATRICE ML37 VIERGE'!B51&lt;&gt;"",TEXT('MATRICE ML37 VIERGE'!B51,"jj/mm/aaaa"),""))))</f>
        <v/>
      </c>
      <c r="C32" s="274" t="str">
        <f aca="false">IF('MATRICE ML36 VIERGE'!C51&lt;&gt;"",TEXT('MATRICE ML36 VIERGE'!C51,"jj/mm/aaaa"),IF('MATRICE ML36 VIERGE'!C52&lt;&gt;"",TEXT('MATRICE ML36 VIERGE'!C52,"jj/mm/aaaa"),IF('MATRICE ML37 VIERGE'!C50&lt;&gt;"",TEXT('MATRICE ML37 VIERGE'!C50,"jj/mm/aaaa"),IF('MATRICE ML37 VIERGE'!C51&lt;&gt;"",TEXT('MATRICE ML37 VIERGE'!C51,"jj/mm/aaaa"),""))))</f>
        <v/>
      </c>
      <c r="D32" s="275" t="str">
        <f aca="false">IF(OR('MATRICE ML36 VIERGE'!B51&lt;&gt;"",'MATRICE ML36 VIERGE'!B52&lt;&gt;""),IF(OR(ISNUMBER(SEARCH("maladie",'MATRICE ML36 VIERGE'!A51)),ISNUMBER(SEARCH("maladie",'MATRICE ML36 VIERGE'!A52))),"Maladie",IF(OR('MATRICE ML36 VIERGE'!A51="CA",'MATRICE ML36 VIERGE'!A52="CA",ISNUMBER(SEARCH("jem",'MATRICE ML36 VIERGE'!A51)),ISNUMBER(SEARCH("jem",'MATRICE ML36 VIERGE'!A52)),ISNUMBER(SEARCH("autres absence",'MATRICE ML36 VIERGE'!A51)),ISNUMBER(SEARCH("autres absence",'MATRICE ML36 VIERGE'!A52))),"Congés annuels",IF(OR(ISNUMBER(SEARCH("sans solde",'MATRICE ML36 VIERGE'!A51)),ISNUMBER(SEARCH("sans solde",'MATRICE ML36 VIERGE'!A52))),"Absence sans solde",IFERROR('MATRICE ML36 VIERGE'!F81,"")))),IF(OR('MATRICE ML37 VIERGE'!B50&lt;&gt;"",'MATRICE ML37 VIERGE'!B51&lt;&gt;""),IF(OR(ISNUMBER(SEARCH("maladie",'MATRICE ML37 VIERGE'!A50)),ISNUMBER(SEARCH("maladie",'MATRICE ML37 VIERGE'!A51))),"Maladie",IF(OR('MATRICE ML37 VIERGE'!A50="CA",'MATRICE ML37 VIERGE'!A51="CA",ISNUMBER(SEARCH("jem",'MATRICE ML37 VIERGE'!A50)),ISNUMBER(SEARCH("jem",'MATRICE ML37 VIERGE'!A51)),ISNUMBER(SEARCH("autres absence",'MATRICE ML37 VIERGE'!A50)),ISNUMBER(SEARCH("autres absence",'MATRICE ML37 VIERGE'!A51))),"Congés annuels",IF(OR(ISNUMBER(SEARCH("sans solde",'MATRICE ML37 VIERGE'!A50)),ISNUMBER(SEARCH("sans solde",'MATRICE ML37 VIERGE'!A51))),"Absence sans solde",IFERROR('MATRICE ML37 VIERGE'!F82,"")))),""))</f>
        <v/>
      </c>
      <c r="E32" s="276" t="str">
        <f aca="false">IF(OR('MATRICE ML36 VIERGE'!B51&lt;&gt;"",'MATRICE ML36 VIERGE'!B52&lt;&gt;""),IF(IFERROR('MATRICE ML36 VIERGE'!G81,0)=0,"",'MATRICE ML36 VIERGE'!G81),IF(OR('MATRICE ML37 VIERGE'!B50&lt;&gt;"",'MATRICE ML37 VIERGE'!B51&lt;&gt;""),IF(IFERROR('MATRICE ML37 VIERGE'!G82,0)=0,"",'MATRICE ML37 VIERGE'!G82),""))</f>
        <v/>
      </c>
      <c r="F32" s="276"/>
      <c r="G32" s="277" t="str">
        <f aca="false">IF(OR('MATRICE ML36 VIERGE'!B51&lt;&gt;"",'MATRICE ML36 VIERGE'!B52&lt;&gt;""),IF(IFERROR('MATRICE ML36 VIERGE'!H81,0)=0,"",'MATRICE ML36 VIERGE'!H81),IF(OR('MATRICE ML37 VIERGE'!B50&lt;&gt;"",'MATRICE ML37 VIERGE'!B51&lt;&gt;""),IF(IFERROR('MATRICE ML37 VIERGE'!H82,0)=0,"",'MATRICE ML37 VIERGE'!H82),""))</f>
        <v/>
      </c>
      <c r="H32" s="278" t="str">
        <f aca="false">IF(OR(D32="",D32="Congés annuels",D32="Maladie",D32="Absence sans solde"),"",IF(OR('MATRICE ML36 VIERGE'!B51&lt;&gt;"",'MATRICE ML36 VIERGE'!B52&lt;&gt;""),IFERROR('MATRICE ML36 VIERGE'!$D$8,""),IF(OR('MATRICE ML37 VIERGE'!B50&lt;&gt;"",'MATRICE ML37 VIERGE'!B51&lt;&gt;""),IFERROR('MATRICE ML37 VIERGE'!$D$9,""),"")))</f>
        <v/>
      </c>
      <c r="I32" s="231"/>
    </row>
    <row r="33" customFormat="false" ht="14.25" hidden="false" customHeight="true" outlineLevel="0" collapsed="false">
      <c r="A33" s="231"/>
      <c r="B33" s="231"/>
      <c r="C33" s="231"/>
      <c r="D33" s="231"/>
      <c r="E33" s="231"/>
      <c r="F33" s="231"/>
      <c r="G33" s="231"/>
      <c r="H33" s="231"/>
      <c r="I33" s="231"/>
    </row>
    <row r="34" customFormat="false" ht="14.25" hidden="false" customHeight="true" outlineLevel="0" collapsed="false">
      <c r="A34" s="231"/>
      <c r="B34" s="279" t="s">
        <v>123</v>
      </c>
      <c r="C34" s="280" t="s">
        <v>124</v>
      </c>
      <c r="D34" s="280"/>
      <c r="E34" s="280"/>
      <c r="F34" s="280"/>
      <c r="G34" s="280"/>
      <c r="H34" s="280"/>
      <c r="I34" s="231"/>
    </row>
    <row r="35" customFormat="false" ht="14.25" hidden="false" customHeight="true" outlineLevel="0" collapsed="false">
      <c r="A35" s="231"/>
      <c r="B35" s="279" t="s">
        <v>125</v>
      </c>
      <c r="C35" s="280" t="s">
        <v>126</v>
      </c>
      <c r="D35" s="280"/>
      <c r="E35" s="280"/>
      <c r="F35" s="280"/>
      <c r="G35" s="280"/>
      <c r="H35" s="280"/>
      <c r="I35" s="231"/>
    </row>
    <row r="36" customFormat="false" ht="14.25" hidden="false" customHeight="true" outlineLevel="0" collapsed="false">
      <c r="A36" s="231"/>
      <c r="B36" s="281" t="s">
        <v>127</v>
      </c>
      <c r="C36" s="282" t="s">
        <v>128</v>
      </c>
      <c r="D36" s="282"/>
      <c r="E36" s="283"/>
      <c r="F36" s="284" t="s">
        <v>129</v>
      </c>
      <c r="G36" s="284"/>
      <c r="H36" s="284"/>
      <c r="I36" s="231"/>
    </row>
    <row r="37" customFormat="false" ht="14.25" hidden="false" customHeight="true" outlineLevel="0" collapsed="false">
      <c r="A37" s="231"/>
      <c r="B37" s="281"/>
      <c r="C37" s="231"/>
      <c r="D37" s="231"/>
      <c r="E37" s="285"/>
      <c r="F37" s="284"/>
      <c r="G37" s="284"/>
      <c r="H37" s="284"/>
      <c r="I37" s="231"/>
    </row>
    <row r="38" customFormat="false" ht="14.25" hidden="false" customHeight="true" outlineLevel="0" collapsed="false">
      <c r="A38" s="231"/>
      <c r="B38" s="281" t="s">
        <v>130</v>
      </c>
      <c r="C38" s="286" t="n">
        <f aca="true">NOW()</f>
        <v>46228.6470663549</v>
      </c>
      <c r="D38" s="286"/>
      <c r="E38" s="283"/>
      <c r="F38" s="287"/>
      <c r="G38" s="287"/>
      <c r="H38" s="287"/>
      <c r="I38" s="231"/>
    </row>
    <row r="39" customFormat="false" ht="14.25" hidden="false" customHeight="true" outlineLevel="0" collapsed="false">
      <c r="A39" s="231"/>
      <c r="B39" s="281"/>
      <c r="C39" s="231"/>
      <c r="D39" s="231"/>
      <c r="E39" s="231"/>
      <c r="F39" s="287"/>
      <c r="G39" s="287"/>
      <c r="H39" s="287"/>
      <c r="I39" s="231"/>
    </row>
    <row r="40" customFormat="false" ht="14.25" hidden="false" customHeight="true" outlineLevel="0" collapsed="false">
      <c r="A40" s="231"/>
      <c r="B40" s="281" t="s">
        <v>131</v>
      </c>
      <c r="C40" s="288"/>
      <c r="D40" s="288"/>
      <c r="E40" s="289"/>
      <c r="F40" s="287"/>
      <c r="G40" s="287"/>
      <c r="H40" s="287"/>
      <c r="I40" s="231"/>
    </row>
    <row r="41" customFormat="false" ht="14.25" hidden="false" customHeight="true" outlineLevel="0" collapsed="false">
      <c r="A41" s="231"/>
      <c r="B41" s="281"/>
      <c r="C41" s="231"/>
      <c r="D41" s="231"/>
      <c r="E41" s="231"/>
      <c r="F41" s="287"/>
      <c r="G41" s="287"/>
      <c r="H41" s="287"/>
      <c r="I41" s="231"/>
    </row>
    <row r="42" customFormat="false" ht="14.25" hidden="false" customHeight="true" outlineLevel="0" collapsed="false">
      <c r="A42" s="231"/>
      <c r="B42" s="281" t="s">
        <v>132</v>
      </c>
      <c r="C42" s="290"/>
      <c r="D42" s="290"/>
      <c r="E42" s="291"/>
      <c r="F42" s="287"/>
      <c r="G42" s="287"/>
      <c r="H42" s="287"/>
      <c r="I42" s="231"/>
    </row>
    <row r="43" customFormat="false" ht="14.25" hidden="false" customHeight="true" outlineLevel="0" collapsed="false">
      <c r="A43" s="231"/>
      <c r="B43" s="281"/>
      <c r="C43" s="231"/>
      <c r="D43" s="231"/>
      <c r="E43" s="231"/>
      <c r="F43" s="287"/>
      <c r="G43" s="287"/>
      <c r="H43" s="287"/>
      <c r="I43" s="231"/>
    </row>
    <row r="44" customFormat="false" ht="14.25" hidden="false" customHeight="true" outlineLevel="0" collapsed="false">
      <c r="A44" s="231"/>
      <c r="B44" s="281" t="s">
        <v>133</v>
      </c>
      <c r="C44" s="292" t="s">
        <v>134</v>
      </c>
      <c r="D44" s="292"/>
      <c r="E44" s="289"/>
      <c r="F44" s="287"/>
      <c r="G44" s="287"/>
      <c r="H44" s="287"/>
      <c r="I44" s="231"/>
    </row>
    <row r="45" customFormat="false" ht="14.25" hidden="false" customHeight="true" outlineLevel="0" collapsed="false">
      <c r="A45" s="231"/>
      <c r="B45" s="231"/>
      <c r="C45" s="231"/>
      <c r="D45" s="231"/>
      <c r="E45" s="231"/>
      <c r="F45" s="231"/>
      <c r="G45" s="231"/>
      <c r="H45" s="231"/>
      <c r="I45" s="231"/>
    </row>
    <row r="46" customFormat="false" ht="14.25" hidden="false" customHeight="true" outlineLevel="0" collapsed="false">
      <c r="A46" s="231"/>
      <c r="B46" s="293" t="s">
        <v>135</v>
      </c>
      <c r="C46" s="294"/>
      <c r="D46" s="294"/>
      <c r="E46" s="294"/>
      <c r="F46" s="294"/>
      <c r="G46" s="294"/>
      <c r="H46" s="295"/>
      <c r="I46" s="231"/>
    </row>
    <row r="47" customFormat="false" ht="14.25" hidden="false" customHeight="true" outlineLevel="0" collapsed="false">
      <c r="A47" s="231"/>
      <c r="B47" s="296" t="s">
        <v>136</v>
      </c>
      <c r="C47" s="297"/>
      <c r="D47" s="297"/>
      <c r="E47" s="297"/>
      <c r="F47" s="297"/>
      <c r="G47" s="297"/>
      <c r="H47" s="298"/>
      <c r="I47" s="297"/>
    </row>
    <row r="48" customFormat="false" ht="14.25" hidden="false" customHeight="true" outlineLevel="0" collapsed="false">
      <c r="A48" s="231"/>
      <c r="B48" s="296" t="s">
        <v>137</v>
      </c>
      <c r="C48" s="297"/>
      <c r="D48" s="297"/>
      <c r="E48" s="297"/>
      <c r="F48" s="297"/>
      <c r="G48" s="297"/>
      <c r="H48" s="298"/>
      <c r="I48" s="297"/>
    </row>
    <row r="49" customFormat="false" ht="14.25" hidden="false" customHeight="true" outlineLevel="0" collapsed="false">
      <c r="A49" s="231"/>
      <c r="B49" s="299" t="s">
        <v>138</v>
      </c>
      <c r="C49" s="299"/>
      <c r="D49" s="299"/>
      <c r="E49" s="299"/>
      <c r="F49" s="299"/>
      <c r="G49" s="299"/>
      <c r="H49" s="299"/>
      <c r="I49" s="300"/>
    </row>
    <row r="50" customFormat="false" ht="14.25" hidden="false" customHeight="true" outlineLevel="0" collapsed="false">
      <c r="A50" s="231"/>
      <c r="B50" s="301"/>
      <c r="C50" s="231"/>
      <c r="D50" s="231"/>
      <c r="E50" s="231"/>
      <c r="F50" s="231"/>
      <c r="G50" s="231"/>
      <c r="H50" s="231"/>
      <c r="I50" s="231"/>
    </row>
    <row r="51" customFormat="false" ht="14.25" hidden="false" customHeight="true" outlineLevel="0" collapsed="false">
      <c r="A51" s="281"/>
      <c r="B51" s="302" t="s">
        <v>139</v>
      </c>
      <c r="C51" s="303"/>
      <c r="D51" s="303"/>
      <c r="E51" s="303"/>
      <c r="F51" s="303"/>
      <c r="G51" s="303"/>
      <c r="H51" s="303"/>
      <c r="I51" s="303"/>
    </row>
    <row r="52" customFormat="false" ht="14.25" hidden="false" customHeight="true" outlineLevel="0" collapsed="false">
      <c r="A52" s="281"/>
      <c r="B52" s="302"/>
      <c r="C52" s="303"/>
      <c r="D52" s="303"/>
      <c r="E52" s="303"/>
      <c r="F52" s="303"/>
      <c r="G52" s="303"/>
      <c r="H52" s="303"/>
      <c r="I52" s="303"/>
    </row>
    <row r="53" customFormat="false" ht="14.25" hidden="false" customHeight="true" outlineLevel="0" collapsed="false">
      <c r="A53" s="281"/>
      <c r="B53" s="304" t="s">
        <v>140</v>
      </c>
      <c r="C53" s="304"/>
      <c r="D53" s="304"/>
      <c r="E53" s="304"/>
      <c r="F53" s="304"/>
      <c r="G53" s="304"/>
      <c r="H53" s="304"/>
      <c r="I53" s="305"/>
    </row>
    <row r="54" customFormat="false" ht="14.25" hidden="false" customHeight="true" outlineLevel="0" collapsed="false">
      <c r="A54" s="281"/>
      <c r="B54" s="304" t="s">
        <v>141</v>
      </c>
      <c r="C54" s="304"/>
      <c r="D54" s="304"/>
      <c r="E54" s="304"/>
      <c r="F54" s="304"/>
      <c r="G54" s="304"/>
      <c r="H54" s="304"/>
      <c r="I54" s="305"/>
    </row>
    <row r="55" customFormat="false" ht="14.25" hidden="false" customHeight="true" outlineLevel="0" collapsed="false">
      <c r="A55" s="231"/>
      <c r="B55" s="304"/>
      <c r="C55" s="304"/>
      <c r="D55" s="304"/>
      <c r="E55" s="304"/>
      <c r="F55" s="304"/>
      <c r="G55" s="304"/>
      <c r="H55" s="304"/>
      <c r="I55" s="306"/>
    </row>
    <row r="56" customFormat="false" ht="14.25" hidden="false" customHeight="true" outlineLevel="0" collapsed="false">
      <c r="A56" s="231"/>
      <c r="B56" s="231"/>
      <c r="C56" s="231"/>
      <c r="D56" s="231"/>
      <c r="E56" s="231"/>
      <c r="F56" s="231"/>
      <c r="G56" s="231"/>
      <c r="H56" s="307"/>
      <c r="I56" s="231"/>
    </row>
    <row r="57" customFormat="false" ht="14.25" hidden="false" customHeight="true" outlineLevel="0" collapsed="false">
      <c r="A57" s="231"/>
      <c r="B57" s="231"/>
      <c r="C57" s="231"/>
      <c r="D57" s="231"/>
      <c r="E57" s="231"/>
      <c r="F57" s="231"/>
      <c r="G57" s="231"/>
      <c r="H57" s="231"/>
      <c r="I57" s="231"/>
    </row>
  </sheetData>
  <sheetProtection algorithmName="SHA-512" hashValue="Bl26QsiPRbQugrIioYRoAxyOSSJRCiwP07n2i/vvzKEkg6ZrGjZj2KOfqP7kF2XqumLv27km5lqInVkJ94V7VA==" saltValue="Rebm4IVrb16W2cfdXkxJzA==" spinCount="100000" sheet="true" objects="true" scenarios="true"/>
  <mergeCells count="33">
    <mergeCell ref="B3:H3"/>
    <mergeCell ref="B7:H7"/>
    <mergeCell ref="B9:H9"/>
    <mergeCell ref="D11:H11"/>
    <mergeCell ref="D13:H13"/>
    <mergeCell ref="D15:H15"/>
    <mergeCell ref="D17:H17"/>
    <mergeCell ref="D19:H19"/>
    <mergeCell ref="B23:C23"/>
    <mergeCell ref="H23:H25"/>
    <mergeCell ref="B24:C24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34:H34"/>
    <mergeCell ref="C35:H35"/>
    <mergeCell ref="C36:D36"/>
    <mergeCell ref="F36:H37"/>
    <mergeCell ref="C38:D38"/>
    <mergeCell ref="F38:H44"/>
    <mergeCell ref="C40:D40"/>
    <mergeCell ref="C42:D42"/>
    <mergeCell ref="C44:D44"/>
    <mergeCell ref="B49:H49"/>
    <mergeCell ref="B53:H53"/>
    <mergeCell ref="B54:H54"/>
    <mergeCell ref="B55:H55"/>
  </mergeCells>
  <hyperlinks>
    <hyperlink ref="C44" r:id="rId1" display="mail.csprh.vivinter@airfrance.fr"/>
  </hyperlinks>
  <printOptions headings="false" gridLines="false" gridLinesSet="true" horizontalCentered="false" verticalCentered="false"/>
  <pageMargins left="0.118055555555556" right="0.118055555555556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7" activeCellId="0" sqref="B7"/>
    </sheetView>
  </sheetViews>
  <sheetFormatPr defaultColWidth="11.4453125" defaultRowHeight="14.25" zeroHeight="false" outlineLevelRow="0" outlineLevelCol="0"/>
  <sheetData>
    <row r="1" customFormat="false" ht="33" hidden="false" customHeight="true" outlineLevel="0" collapsed="false">
      <c r="A1" s="308" t="s">
        <v>142</v>
      </c>
      <c r="B1" s="308"/>
      <c r="C1" s="308"/>
      <c r="D1" s="308"/>
      <c r="E1" s="308"/>
      <c r="F1" s="308"/>
      <c r="G1" s="308"/>
      <c r="H1" s="308"/>
    </row>
    <row r="3" customFormat="false" ht="25.5" hidden="false" customHeight="true" outlineLevel="0" collapsed="false">
      <c r="A3" s="309" t="s">
        <v>143</v>
      </c>
      <c r="B3" s="310"/>
      <c r="C3" s="310"/>
      <c r="D3" s="310"/>
    </row>
    <row r="4" customFormat="false" ht="18" hidden="false" customHeight="true" outlineLevel="0" collapsed="false">
      <c r="A4" s="310"/>
      <c r="B4" s="310"/>
      <c r="C4" s="310"/>
      <c r="D4" s="310"/>
    </row>
    <row r="5" customFormat="false" ht="18" hidden="false" customHeight="true" outlineLevel="0" collapsed="false">
      <c r="A5" s="310"/>
      <c r="B5" s="311" t="s">
        <v>112</v>
      </c>
      <c r="C5" s="310"/>
      <c r="D5" s="310"/>
    </row>
    <row r="6" customFormat="false" ht="18" hidden="false" customHeight="true" outlineLevel="0" collapsed="false">
      <c r="A6" s="310"/>
      <c r="B6" s="311" t="s">
        <v>144</v>
      </c>
      <c r="C6" s="310"/>
      <c r="D6" s="310"/>
    </row>
    <row r="7" customFormat="false" ht="18" hidden="false" customHeight="true" outlineLevel="0" collapsed="false">
      <c r="A7" s="310"/>
      <c r="B7" s="311" t="s">
        <v>145</v>
      </c>
      <c r="C7" s="310"/>
      <c r="D7" s="310"/>
    </row>
    <row r="8" customFormat="false" ht="18" hidden="false" customHeight="true" outlineLevel="0" collapsed="false">
      <c r="A8" s="310"/>
      <c r="B8" s="312" t="s">
        <v>146</v>
      </c>
      <c r="C8" s="310"/>
      <c r="D8" s="310"/>
    </row>
    <row r="9" customFormat="false" ht="18" hidden="false" customHeight="true" outlineLevel="0" collapsed="false">
      <c r="A9" s="310"/>
      <c r="B9" s="311" t="s">
        <v>147</v>
      </c>
      <c r="C9" s="310"/>
      <c r="D9" s="310"/>
    </row>
    <row r="10" customFormat="false" ht="18" hidden="false" customHeight="true" outlineLevel="0" collapsed="false">
      <c r="A10" s="310"/>
      <c r="B10" s="310"/>
      <c r="C10" s="310"/>
      <c r="D10" s="310"/>
    </row>
    <row r="11" customFormat="false" ht="25.5" hidden="false" customHeight="true" outlineLevel="0" collapsed="false">
      <c r="A11" s="309" t="s">
        <v>148</v>
      </c>
      <c r="C11" s="310"/>
      <c r="D11" s="310"/>
    </row>
    <row r="12" customFormat="false" ht="18" hidden="false" customHeight="true" outlineLevel="0" collapsed="false">
      <c r="A12" s="310"/>
      <c r="B12" s="310"/>
      <c r="C12" s="310"/>
      <c r="D12" s="310"/>
    </row>
    <row r="14" customFormat="false" ht="18" hidden="false" customHeight="true" outlineLevel="0" collapsed="false">
      <c r="B14" s="311" t="s">
        <v>149</v>
      </c>
    </row>
    <row r="37" customFormat="false" ht="18" hidden="false" customHeight="true" outlineLevel="0" collapsed="false">
      <c r="B37" s="311" t="s">
        <v>150</v>
      </c>
    </row>
    <row r="61" customFormat="false" ht="18" hidden="false" customHeight="true" outlineLevel="0" collapsed="false">
      <c r="B61" s="311" t="s">
        <v>151</v>
      </c>
    </row>
    <row r="93" customFormat="false" ht="18" hidden="false" customHeight="true" outlineLevel="0" collapsed="false">
      <c r="B93" s="311" t="s">
        <v>152</v>
      </c>
    </row>
    <row r="99" customFormat="false" ht="18" hidden="false" customHeight="true" outlineLevel="0" collapsed="false">
      <c r="B99" s="311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2026-04-03T12:50:43Z</dcterms:created>
  <dc:creator>Martin, Lydie (DP CN CP) - AF</dc:creator>
  <dc:description/>
  <dc:language>en-US</dc:language>
  <cp:lastModifiedBy/>
  <dcterms:modified xsi:type="dcterms:W3CDTF">2026-07-25T15:31:46Z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0x01010092CC6472B56EE14C83B51036AB1C0615</vt:lpwstr>
  </property>
  <property fmtid="{D5CDD505-2E9C-101B-9397-08002B2CF9AE}" pid="3" name="MediaServiceImageTags">
    <vt:lpwstr/>
  </property>
</Properties>
</file>