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fkl-my.sharepoint.com/personal/naromdhane_airfrance_fr/Documents/Bureau/Calculateurs/TEST Calculateur TPT/"/>
    </mc:Choice>
  </mc:AlternateContent>
  <xr:revisionPtr revIDLastSave="11" documentId="8_{2D91EA2C-EDE6-46AF-A378-BDBE8A7E6D36}" xr6:coauthVersionLast="47" xr6:coauthVersionMax="47" xr10:uidLastSave="{52D68F56-6CBB-470D-B336-EC717113134F}"/>
  <bookViews>
    <workbookView xWindow="-108" yWindow="-108" windowWidth="23256" windowHeight="13896" firstSheet="1" activeTab="3" xr2:uid="{24F5C5B5-A5B9-406A-837C-E571D18BBDA8}"/>
  </bookViews>
  <sheets>
    <sheet name="MATRICE ML35 VIERGE" sheetId="1" r:id="rId1"/>
    <sheet name="MATRICE ML36 VIERGE" sheetId="4" r:id="rId2"/>
    <sheet name="MATRICE ML37 VIERGE" sheetId="3" r:id="rId3"/>
    <sheet name="Attestation Vivinter" sheetId="5" r:id="rId4"/>
    <sheet name="MODOP Attestation VIV" sheetId="6" r:id="rId5"/>
  </sheets>
  <definedNames>
    <definedName name="_xlnm.Print_Area" localSheetId="3">'Attestation Vivinter'!$A$1:$I$55</definedName>
    <definedName name="_xlnm.Print_Area" localSheetId="1">'MATRICE ML36 VIERGE'!$A$1:$K$82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4" l="1"/>
  <c r="D32" i="5"/>
  <c r="B32" i="5"/>
  <c r="D17" i="5"/>
  <c r="D15" i="5" l="1"/>
  <c r="C32" i="5"/>
  <c r="C31" i="5"/>
  <c r="C30" i="5"/>
  <c r="C29" i="5"/>
  <c r="C28" i="5"/>
  <c r="C27" i="5"/>
  <c r="C26" i="5"/>
  <c r="H32" i="5"/>
  <c r="B31" i="5"/>
  <c r="B30" i="5"/>
  <c r="B29" i="5"/>
  <c r="B28" i="5"/>
  <c r="B27" i="5"/>
  <c r="B26" i="5"/>
  <c r="D13" i="5"/>
  <c r="D11" i="5"/>
  <c r="C38" i="5"/>
  <c r="I18" i="4" l="1"/>
  <c r="E56" i="4" l="1"/>
  <c r="B58" i="4" s="1"/>
  <c r="J25" i="3"/>
  <c r="I31" i="1"/>
  <c r="I30" i="1"/>
  <c r="I29" i="1"/>
  <c r="I28" i="1"/>
  <c r="K15" i="1"/>
  <c r="E83" i="4"/>
  <c r="E84" i="4"/>
  <c r="C84" i="4"/>
  <c r="C83" i="4"/>
  <c r="E85" i="3"/>
  <c r="E84" i="3"/>
  <c r="E83" i="3"/>
  <c r="E82" i="3"/>
  <c r="E81" i="3"/>
  <c r="C85" i="3"/>
  <c r="C84" i="3"/>
  <c r="C83" i="3"/>
  <c r="C82" i="3"/>
  <c r="C81" i="3"/>
  <c r="P14" i="3"/>
  <c r="P13" i="3"/>
  <c r="P12" i="3"/>
  <c r="P11" i="3"/>
  <c r="P9" i="3"/>
  <c r="P8" i="3"/>
  <c r="P7" i="3"/>
  <c r="P6" i="3"/>
  <c r="P5" i="3"/>
  <c r="O15" i="4"/>
  <c r="D65" i="3"/>
  <c r="E65" i="3" s="1"/>
  <c r="D60" i="3"/>
  <c r="E61" i="3" s="1"/>
  <c r="L5" i="1"/>
  <c r="O14" i="4"/>
  <c r="O13" i="4"/>
  <c r="D66" i="4"/>
  <c r="E66" i="4" s="1"/>
  <c r="B68" i="4" s="1"/>
  <c r="D61" i="4"/>
  <c r="E61" i="4" s="1"/>
  <c r="B63" i="4" s="1"/>
  <c r="B29" i="1"/>
  <c r="D29" i="1"/>
  <c r="E29" i="1"/>
  <c r="F29" i="1"/>
  <c r="B30" i="1"/>
  <c r="D30" i="1"/>
  <c r="E30" i="1"/>
  <c r="F30" i="1"/>
  <c r="B31" i="1"/>
  <c r="D31" i="1"/>
  <c r="E31" i="1"/>
  <c r="F31" i="1"/>
  <c r="H21" i="1"/>
  <c r="J21" i="1"/>
  <c r="K21" i="1"/>
  <c r="L21" i="1" s="1"/>
  <c r="H19" i="1"/>
  <c r="J19" i="1"/>
  <c r="K19" i="1"/>
  <c r="L19" i="1" s="1"/>
  <c r="H20" i="1"/>
  <c r="J20" i="1"/>
  <c r="K20" i="1"/>
  <c r="L20" i="1" s="1"/>
  <c r="L10" i="1"/>
  <c r="L8" i="1"/>
  <c r="L9" i="1"/>
  <c r="D20" i="3"/>
  <c r="E21" i="3" s="1"/>
  <c r="D55" i="3"/>
  <c r="E55" i="3" s="1"/>
  <c r="D50" i="3"/>
  <c r="E51" i="3" s="1"/>
  <c r="D45" i="3"/>
  <c r="E46" i="3" s="1"/>
  <c r="O7" i="4"/>
  <c r="O8" i="4"/>
  <c r="O9" i="4"/>
  <c r="O10" i="4"/>
  <c r="O11" i="4"/>
  <c r="O12" i="4"/>
  <c r="O6" i="4"/>
  <c r="E15" i="4"/>
  <c r="D21" i="4"/>
  <c r="E21" i="4" s="1"/>
  <c r="B23" i="4" s="1"/>
  <c r="I25" i="4"/>
  <c r="D26" i="4"/>
  <c r="E26" i="4" s="1"/>
  <c r="B28" i="4" s="1"/>
  <c r="D31" i="4"/>
  <c r="E31" i="4" s="1"/>
  <c r="B33" i="4" s="1"/>
  <c r="D36" i="4"/>
  <c r="E36" i="4" s="1"/>
  <c r="B38" i="4" s="1"/>
  <c r="D41" i="4"/>
  <c r="E41" i="4" s="1"/>
  <c r="B43" i="4" s="1"/>
  <c r="D46" i="4"/>
  <c r="E46" i="4" s="1"/>
  <c r="B48" i="4" s="1"/>
  <c r="D51" i="4"/>
  <c r="E51" i="4" s="1"/>
  <c r="B53" i="4" s="1"/>
  <c r="D56" i="4"/>
  <c r="C75" i="4"/>
  <c r="E75" i="4"/>
  <c r="C76" i="4"/>
  <c r="E76" i="4"/>
  <c r="C77" i="4"/>
  <c r="E77" i="4"/>
  <c r="C78" i="4"/>
  <c r="E78" i="4"/>
  <c r="C79" i="4"/>
  <c r="E79" i="4"/>
  <c r="C80" i="4"/>
  <c r="E80" i="4"/>
  <c r="C81" i="4"/>
  <c r="E81" i="4"/>
  <c r="C82" i="4"/>
  <c r="E82" i="4"/>
  <c r="F4" i="4" l="1"/>
  <c r="B44" i="4"/>
  <c r="B39" i="4"/>
  <c r="E60" i="3"/>
  <c r="E66" i="3"/>
  <c r="E56" i="3"/>
  <c r="E50" i="3"/>
  <c r="E45" i="3"/>
  <c r="E20" i="3"/>
  <c r="F69" i="4"/>
  <c r="G84" i="4" s="1"/>
  <c r="K14" i="4"/>
  <c r="J29" i="1"/>
  <c r="J31" i="1"/>
  <c r="J30" i="1"/>
  <c r="J8" i="4"/>
  <c r="B69" i="4"/>
  <c r="B59" i="4"/>
  <c r="B64" i="4"/>
  <c r="B29" i="4"/>
  <c r="B49" i="4"/>
  <c r="B54" i="4"/>
  <c r="B34" i="4"/>
  <c r="B16" i="3"/>
  <c r="E16" i="3"/>
  <c r="J20" i="3"/>
  <c r="D25" i="3"/>
  <c r="D30" i="3"/>
  <c r="D35" i="3"/>
  <c r="D40" i="3"/>
  <c r="C76" i="3"/>
  <c r="E76" i="3"/>
  <c r="C77" i="3"/>
  <c r="E77" i="3"/>
  <c r="C78" i="3"/>
  <c r="E78" i="3"/>
  <c r="C79" i="3"/>
  <c r="E79" i="3"/>
  <c r="C80" i="3"/>
  <c r="E80" i="3"/>
  <c r="P10" i="3" l="1"/>
  <c r="F4" i="3" s="1"/>
  <c r="B47" i="3"/>
  <c r="B22" i="3"/>
  <c r="B23" i="3" s="1"/>
  <c r="B57" i="3"/>
  <c r="B52" i="3"/>
  <c r="B67" i="3"/>
  <c r="B62" i="3"/>
  <c r="B63" i="3" s="1"/>
  <c r="B58" i="3"/>
  <c r="B68" i="3"/>
  <c r="B48" i="3"/>
  <c r="B53" i="3"/>
  <c r="E40" i="3"/>
  <c r="E41" i="3"/>
  <c r="E36" i="3"/>
  <c r="E35" i="3"/>
  <c r="E30" i="3"/>
  <c r="B32" i="3" s="1"/>
  <c r="E31" i="3"/>
  <c r="E26" i="3"/>
  <c r="E25" i="3"/>
  <c r="F23" i="4"/>
  <c r="J12" i="4"/>
  <c r="K15" i="4"/>
  <c r="J15" i="4"/>
  <c r="F44" i="4"/>
  <c r="G79" i="4" s="1"/>
  <c r="F24" i="4"/>
  <c r="G75" i="4" s="1"/>
  <c r="J7" i="4"/>
  <c r="I9" i="4"/>
  <c r="I7" i="4"/>
  <c r="I14" i="4"/>
  <c r="F38" i="4"/>
  <c r="K8" i="4"/>
  <c r="F63" i="4"/>
  <c r="I12" i="4"/>
  <c r="F33" i="4"/>
  <c r="F54" i="4"/>
  <c r="G81" i="4" s="1"/>
  <c r="K12" i="4"/>
  <c r="I13" i="4"/>
  <c r="K6" i="4"/>
  <c r="K10" i="4"/>
  <c r="B24" i="4"/>
  <c r="F39" i="4"/>
  <c r="G78" i="4" s="1"/>
  <c r="F59" i="4"/>
  <c r="G82" i="4" s="1"/>
  <c r="F48" i="4"/>
  <c r="F29" i="4"/>
  <c r="G76" i="4" s="1"/>
  <c r="J13" i="4"/>
  <c r="F58" i="4"/>
  <c r="F64" i="4"/>
  <c r="G83" i="4" s="1"/>
  <c r="F28" i="4"/>
  <c r="F34" i="4"/>
  <c r="G77" i="4" s="1"/>
  <c r="J11" i="4"/>
  <c r="I15" i="4"/>
  <c r="K7" i="4"/>
  <c r="F43" i="4"/>
  <c r="F53" i="4"/>
  <c r="K9" i="4"/>
  <c r="J6" i="4"/>
  <c r="J10" i="4"/>
  <c r="I10" i="4"/>
  <c r="K11" i="4"/>
  <c r="I8" i="4"/>
  <c r="K13" i="4"/>
  <c r="I11" i="4"/>
  <c r="F68" i="4"/>
  <c r="J9" i="4"/>
  <c r="F49" i="4"/>
  <c r="G80" i="4" s="1"/>
  <c r="J14" i="4"/>
  <c r="I6" i="4"/>
  <c r="B27" i="3" l="1"/>
  <c r="B42" i="3"/>
  <c r="B37" i="3"/>
  <c r="J6" i="3"/>
  <c r="J12" i="3"/>
  <c r="D57" i="3" s="1"/>
  <c r="L7" i="3"/>
  <c r="L9" i="3"/>
  <c r="D29" i="4"/>
  <c r="F76" i="4" s="1"/>
  <c r="D23" i="4"/>
  <c r="D28" i="4"/>
  <c r="D24" i="4"/>
  <c r="G23" i="3"/>
  <c r="G76" i="3" s="1"/>
  <c r="E26" i="5" s="1"/>
  <c r="G68" i="3"/>
  <c r="G85" i="3" s="1"/>
  <c r="G63" i="3"/>
  <c r="G84" i="3" s="1"/>
  <c r="G48" i="3"/>
  <c r="G81" i="3" s="1"/>
  <c r="E31" i="5" s="1"/>
  <c r="G53" i="3"/>
  <c r="G82" i="3" s="1"/>
  <c r="E32" i="5" s="1"/>
  <c r="G28" i="3"/>
  <c r="G77" i="3" s="1"/>
  <c r="E27" i="5" s="1"/>
  <c r="G32" i="3"/>
  <c r="G42" i="3"/>
  <c r="G43" i="3"/>
  <c r="G80" i="3" s="1"/>
  <c r="E30" i="5" s="1"/>
  <c r="G47" i="3"/>
  <c r="G22" i="3"/>
  <c r="G27" i="3"/>
  <c r="G52" i="3"/>
  <c r="G67" i="3"/>
  <c r="G38" i="3"/>
  <c r="G79" i="3" s="1"/>
  <c r="E29" i="5" s="1"/>
  <c r="G37" i="3"/>
  <c r="G57" i="3"/>
  <c r="G58" i="3"/>
  <c r="G83" i="3" s="1"/>
  <c r="G62" i="3"/>
  <c r="G33" i="3"/>
  <c r="G78" i="3" s="1"/>
  <c r="E28" i="5" s="1"/>
  <c r="D43" i="4"/>
  <c r="D38" i="4"/>
  <c r="D63" i="4"/>
  <c r="D53" i="4"/>
  <c r="D68" i="4"/>
  <c r="D33" i="4"/>
  <c r="D39" i="4"/>
  <c r="F78" i="4" s="1"/>
  <c r="D48" i="4"/>
  <c r="D58" i="4"/>
  <c r="D34" i="4"/>
  <c r="F77" i="4" s="1"/>
  <c r="D44" i="4"/>
  <c r="F79" i="4" s="1"/>
  <c r="D54" i="4"/>
  <c r="F81" i="4" s="1"/>
  <c r="D59" i="4"/>
  <c r="F82" i="4" s="1"/>
  <c r="D49" i="4"/>
  <c r="F80" i="4" s="1"/>
  <c r="D69" i="4"/>
  <c r="F84" i="4" s="1"/>
  <c r="D64" i="4"/>
  <c r="L10" i="3"/>
  <c r="J10" i="3"/>
  <c r="K7" i="3"/>
  <c r="K12" i="3"/>
  <c r="L8" i="3"/>
  <c r="K8" i="3"/>
  <c r="L14" i="3"/>
  <c r="J7" i="3"/>
  <c r="J9" i="3"/>
  <c r="K9" i="3"/>
  <c r="K11" i="3"/>
  <c r="J11" i="3"/>
  <c r="K14" i="3"/>
  <c r="L11" i="3"/>
  <c r="J13" i="3"/>
  <c r="J8" i="3"/>
  <c r="L6" i="3"/>
  <c r="L5" i="3"/>
  <c r="K10" i="3"/>
  <c r="J5" i="3"/>
  <c r="K6" i="3"/>
  <c r="L13" i="3"/>
  <c r="J14" i="3"/>
  <c r="D67" i="3" s="1"/>
  <c r="K13" i="3"/>
  <c r="K5" i="3"/>
  <c r="L12" i="3"/>
  <c r="B43" i="3"/>
  <c r="B33" i="3"/>
  <c r="D23" i="3" l="1"/>
  <c r="F76" i="3" s="1"/>
  <c r="D68" i="3"/>
  <c r="F68" i="3" s="1"/>
  <c r="D58" i="3"/>
  <c r="D59" i="3" s="1"/>
  <c r="F59" i="3" s="1"/>
  <c r="D62" i="3"/>
  <c r="D48" i="3"/>
  <c r="F48" i="3" s="1"/>
  <c r="D63" i="3"/>
  <c r="F63" i="3" s="1"/>
  <c r="D47" i="3"/>
  <c r="D49" i="3" s="1"/>
  <c r="F49" i="3" s="1"/>
  <c r="B38" i="3"/>
  <c r="D38" i="3" s="1"/>
  <c r="F38" i="3" s="1"/>
  <c r="D37" i="3"/>
  <c r="D27" i="3"/>
  <c r="D30" i="4"/>
  <c r="D25" i="4"/>
  <c r="D52" i="3"/>
  <c r="B28" i="3"/>
  <c r="D43" i="3"/>
  <c r="F80" i="3" s="1"/>
  <c r="D30" i="5" s="1"/>
  <c r="H30" i="5" s="1"/>
  <c r="D53" i="3"/>
  <c r="D42" i="3"/>
  <c r="D33" i="3"/>
  <c r="F33" i="3" s="1"/>
  <c r="D32" i="3"/>
  <c r="D22" i="3"/>
  <c r="F75" i="4"/>
  <c r="D50" i="4"/>
  <c r="D65" i="4"/>
  <c r="D40" i="4"/>
  <c r="D35" i="4"/>
  <c r="D45" i="4"/>
  <c r="F74" i="4"/>
  <c r="D60" i="4"/>
  <c r="D55" i="4"/>
  <c r="F83" i="4"/>
  <c r="D70" i="4"/>
  <c r="E17" i="1"/>
  <c r="F17" i="1" s="1"/>
  <c r="L3" i="1"/>
  <c r="B17" i="1" s="1"/>
  <c r="F4" i="1"/>
  <c r="L4" i="1"/>
  <c r="E25" i="1" s="1"/>
  <c r="E26" i="1"/>
  <c r="L6" i="1"/>
  <c r="E27" i="1" s="1"/>
  <c r="L7" i="1"/>
  <c r="E28" i="1" s="1"/>
  <c r="H14" i="1"/>
  <c r="J14" i="1"/>
  <c r="H15" i="1"/>
  <c r="J15" i="1"/>
  <c r="H16" i="1"/>
  <c r="J16" i="1"/>
  <c r="H17" i="1"/>
  <c r="J17" i="1"/>
  <c r="K17" i="1"/>
  <c r="J27" i="1" s="1"/>
  <c r="H18" i="1"/>
  <c r="J18" i="1"/>
  <c r="B24" i="1"/>
  <c r="D24" i="1"/>
  <c r="F24" i="1"/>
  <c r="B25" i="1"/>
  <c r="D25" i="1"/>
  <c r="F25" i="1"/>
  <c r="I25" i="1" s="1"/>
  <c r="B26" i="1"/>
  <c r="D26" i="1"/>
  <c r="F26" i="1"/>
  <c r="I26" i="1" s="1"/>
  <c r="B27" i="1"/>
  <c r="D27" i="1"/>
  <c r="F27" i="1"/>
  <c r="I27" i="1" s="1"/>
  <c r="B28" i="1"/>
  <c r="D28" i="1"/>
  <c r="F28" i="1"/>
  <c r="D26" i="5" l="1"/>
  <c r="H26" i="5" s="1"/>
  <c r="F84" i="3"/>
  <c r="F83" i="3"/>
  <c r="F85" i="3"/>
  <c r="D39" i="3"/>
  <c r="F39" i="3" s="1"/>
  <c r="F79" i="3"/>
  <c r="D29" i="5" s="1"/>
  <c r="H29" i="5" s="1"/>
  <c r="F58" i="3"/>
  <c r="F81" i="3"/>
  <c r="D31" i="5" s="1"/>
  <c r="H31" i="5" s="1"/>
  <c r="D69" i="3"/>
  <c r="F69" i="3" s="1"/>
  <c r="D44" i="3"/>
  <c r="F44" i="3" s="1"/>
  <c r="D64" i="3"/>
  <c r="F64" i="3" s="1"/>
  <c r="D54" i="3"/>
  <c r="F54" i="3" s="1"/>
  <c r="D28" i="3"/>
  <c r="F72" i="3" s="1"/>
  <c r="F78" i="3"/>
  <c r="D28" i="5" s="1"/>
  <c r="H28" i="5" s="1"/>
  <c r="F53" i="3"/>
  <c r="F43" i="3"/>
  <c r="D34" i="3"/>
  <c r="F34" i="3" s="1"/>
  <c r="F82" i="3"/>
  <c r="D24" i="3"/>
  <c r="F24" i="3" s="1"/>
  <c r="F72" i="4"/>
  <c r="F23" i="3"/>
  <c r="H26" i="1"/>
  <c r="E24" i="1"/>
  <c r="K16" i="1"/>
  <c r="L16" i="1" s="1"/>
  <c r="H29" i="1"/>
  <c r="H31" i="1"/>
  <c r="K31" i="1" s="1"/>
  <c r="H30" i="1"/>
  <c r="K18" i="1"/>
  <c r="J28" i="1" s="1"/>
  <c r="L17" i="1"/>
  <c r="H28" i="1"/>
  <c r="F7" i="1"/>
  <c r="H25" i="1"/>
  <c r="H27" i="1"/>
  <c r="K27" i="1" s="1"/>
  <c r="L27" i="1" s="1"/>
  <c r="H24" i="1" l="1"/>
  <c r="I24" i="1"/>
  <c r="F28" i="3"/>
  <c r="D29" i="3"/>
  <c r="F29" i="3" s="1"/>
  <c r="F77" i="3"/>
  <c r="D27" i="5" s="1"/>
  <c r="H27" i="5" s="1"/>
  <c r="F75" i="3"/>
  <c r="B14" i="1"/>
  <c r="K30" i="1"/>
  <c r="L30" i="1" s="1"/>
  <c r="L31" i="1"/>
  <c r="K29" i="1"/>
  <c r="L29" i="1" s="1"/>
  <c r="L18" i="1"/>
  <c r="K28" i="1"/>
  <c r="L28" i="1" s="1"/>
  <c r="K14" i="1"/>
  <c r="J26" i="1"/>
  <c r="K26" i="1" s="1"/>
  <c r="L26" i="1" s="1"/>
  <c r="F73" i="3" l="1"/>
  <c r="J24" i="1"/>
  <c r="K24" i="1" s="1"/>
  <c r="L24" i="1" s="1"/>
  <c r="J25" i="1"/>
  <c r="K25" i="1" s="1"/>
  <c r="L25" i="1" s="1"/>
  <c r="L15" i="1"/>
  <c r="L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Martin, Lydie (DP CN CP) - AF</author>
  </authors>
  <commentList>
    <comment ref="B14" authorId="0" shapeId="0" xr:uid="{31891178-D1F8-473F-8F69-96EF57AA522A}">
      <text>
        <r>
          <rPr>
            <b/>
            <sz val="9"/>
            <color indexed="81"/>
            <rFont val="Tahoma"/>
            <family val="2"/>
          </rPr>
          <t>Martin, Lydie (DP CN CP) - AF:</t>
        </r>
        <r>
          <rPr>
            <sz val="9"/>
            <color indexed="81"/>
            <rFont val="Tahoma"/>
            <family val="2"/>
          </rPr>
          <t xml:space="preserve">
Ne pas remplir - Se calcule automatiquement
Correspond à l'indemnité JOURNALIER qui se trouve sur paie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Martin, Lydie (DP CN CP) - AF</author>
    <author>Martin, Lydie (DP CN CP) - AF (ext)</author>
  </authors>
  <commentList>
    <comment ref="I17" authorId="0" shapeId="0" xr:uid="{D02F9FE6-7F01-4D03-84EC-01A7CF1018D5}">
      <text>
        <r>
          <rPr>
            <b/>
            <sz val="9"/>
            <color indexed="81"/>
            <rFont val="Tahoma"/>
            <family val="2"/>
          </rPr>
          <t>Martin, Lydie (DP CN CP) - AF:</t>
        </r>
        <r>
          <rPr>
            <sz val="9"/>
            <color indexed="81"/>
            <rFont val="Tahoma"/>
            <family val="2"/>
          </rPr>
          <t xml:space="preserve">
Attention ! Si le TPT ne couvre pas le mois entier proratiser le versement SIACI</t>
        </r>
      </text>
    </comment>
    <comment ref="I18" authorId="0" shapeId="0" xr:uid="{B3512FCD-A729-4931-9ECA-129032F6E495}">
      <text>
        <r>
          <rPr>
            <b/>
            <sz val="9"/>
            <color indexed="81"/>
            <rFont val="Tahoma"/>
            <family val="2"/>
          </rPr>
          <t xml:space="preserve">Martin, Lydie (DP CN CP) - AF:
</t>
        </r>
        <r>
          <rPr>
            <sz val="9"/>
            <color indexed="81"/>
            <rFont val="Tahoma"/>
            <family val="2"/>
          </rPr>
          <t>24,5% du montant SIACI a été automatiquement pris en compte dans le calcul.</t>
        </r>
      </text>
    </comment>
    <comment ref="F74" authorId="1" shapeId="0" xr:uid="{5636DF5D-E6BB-4650-8E28-3ACD0A36C2C8}">
      <text>
        <r>
          <rPr>
            <b/>
            <sz val="9"/>
            <color indexed="81"/>
            <rFont val="Tahoma"/>
            <family val="2"/>
          </rPr>
          <t>Martin, Lydie (DP CN CP) - AF (ext):</t>
        </r>
        <r>
          <rPr>
            <sz val="9"/>
            <color indexed="81"/>
            <rFont val="Tahoma"/>
            <family val="2"/>
          </rPr>
          <t xml:space="preserve">
Si SIACI enlevé le montant du perçu car c'est eux qui l'ont versé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Martin, Lydie (DP CN CP) - AF</author>
    <author>Martin, Lydie (DP CN CP) - AF (ext)</author>
  </authors>
  <commentList>
    <comment ref="J19" authorId="0" shapeId="0" xr:uid="{0113247E-9AC5-4EC3-B38A-C491BBFB02E7}">
      <text>
        <r>
          <rPr>
            <b/>
            <sz val="9"/>
            <color indexed="81"/>
            <rFont val="Tahoma"/>
            <family val="2"/>
          </rPr>
          <t>Martin, Lydie (DP CN CP) - AF:</t>
        </r>
        <r>
          <rPr>
            <sz val="9"/>
            <color indexed="81"/>
            <rFont val="Tahoma"/>
            <family val="2"/>
          </rPr>
          <t xml:space="preserve">
Attention ! Si le TPT ne couvre pas le mois entier proratiser le versement SIACI</t>
        </r>
      </text>
    </comment>
    <comment ref="J20" authorId="1" shapeId="0" xr:uid="{A5FEEC40-490C-4817-BE4F-5C4E55A0A234}">
      <text>
        <r>
          <rPr>
            <b/>
            <sz val="9"/>
            <color indexed="81"/>
            <rFont val="Tahoma"/>
            <family val="2"/>
          </rPr>
          <t>Martin, Lydie (DP CN CP) - AF (ext):</t>
        </r>
        <r>
          <rPr>
            <sz val="9"/>
            <color indexed="81"/>
            <rFont val="Tahoma"/>
            <family val="2"/>
          </rPr>
          <t xml:space="preserve">
24,5% du montant SIACI a été automatiquement pris en compte dans le calcul.</t>
        </r>
      </text>
    </comment>
    <comment ref="F75" authorId="1" shapeId="0" xr:uid="{D8C6E28D-CDE2-47DE-BC1D-D5374634DEA9}">
      <text>
        <r>
          <rPr>
            <b/>
            <sz val="9"/>
            <color indexed="81"/>
            <rFont val="Tahoma"/>
            <family val="2"/>
          </rPr>
          <t>Martin, Lydie (DP CN CP) - AF (ext):</t>
        </r>
        <r>
          <rPr>
            <sz val="9"/>
            <color indexed="81"/>
            <rFont val="Tahoma"/>
            <family val="2"/>
          </rPr>
          <t xml:space="preserve">
Si SIACI enlevé le montant du perçu car c'est eux qui l'ont versé</t>
        </r>
      </text>
    </comment>
  </commentList>
</comments>
</file>

<file path=xl/sharedStrings.xml><?xml version="1.0" encoding="utf-8"?>
<sst xmlns="http://schemas.openxmlformats.org/spreadsheetml/2006/main" count="356" uniqueCount="152">
  <si>
    <t xml:space="preserve">NB JOURS MOIS </t>
  </si>
  <si>
    <t xml:space="preserve">Motifs </t>
  </si>
  <si>
    <t>SIRET</t>
  </si>
  <si>
    <t>FIXE 100%</t>
  </si>
  <si>
    <t xml:space="preserve">Périodes </t>
  </si>
  <si>
    <t>NB JRS</t>
  </si>
  <si>
    <t>MOTIFS</t>
  </si>
  <si>
    <t>ML35</t>
  </si>
  <si>
    <t>N°SS</t>
  </si>
  <si>
    <t>P.TRANS</t>
  </si>
  <si>
    <t>DU</t>
  </si>
  <si>
    <t>au</t>
  </si>
  <si>
    <t xml:space="preserve">CA </t>
  </si>
  <si>
    <t>MATRICULE</t>
  </si>
  <si>
    <t xml:space="preserve">au </t>
  </si>
  <si>
    <t>NOM</t>
  </si>
  <si>
    <t>MAJO</t>
  </si>
  <si>
    <t>PRENOM</t>
  </si>
  <si>
    <t>PANIERS</t>
  </si>
  <si>
    <t xml:space="preserve">DATE AT </t>
  </si>
  <si>
    <t>TOTAL</t>
  </si>
  <si>
    <t>DJT</t>
  </si>
  <si>
    <t>PERTE</t>
  </si>
  <si>
    <t xml:space="preserve">soit </t>
  </si>
  <si>
    <t>PERTE A DECLARER</t>
  </si>
  <si>
    <t>IJ/ JOURS</t>
  </si>
  <si>
    <t>NB JOURS</t>
  </si>
  <si>
    <t>IJ TOTAL TPT</t>
  </si>
  <si>
    <t>IGR</t>
  </si>
  <si>
    <t xml:space="preserve">TOTAL </t>
  </si>
  <si>
    <t>Perçu CPAM</t>
  </si>
  <si>
    <t>FIXE</t>
  </si>
  <si>
    <t>MAJO + PAN</t>
  </si>
  <si>
    <t>IJ RETIRER</t>
  </si>
  <si>
    <t>A DECLARER</t>
  </si>
  <si>
    <t xml:space="preserve">SIRET </t>
  </si>
  <si>
    <t>MOIS</t>
  </si>
  <si>
    <t xml:space="preserve">MOTIF </t>
  </si>
  <si>
    <t>MOTIF</t>
  </si>
  <si>
    <t xml:space="preserve">N°SS </t>
  </si>
  <si>
    <t xml:space="preserve">Nb jours dans le mois </t>
  </si>
  <si>
    <t>ML36</t>
  </si>
  <si>
    <t>Maladie</t>
  </si>
  <si>
    <t xml:space="preserve">MATRICULE </t>
  </si>
  <si>
    <t>CA / JEM</t>
  </si>
  <si>
    <t xml:space="preserve">NOM </t>
  </si>
  <si>
    <t>SALAIRE RETABLI 3201</t>
  </si>
  <si>
    <t>REPARTITION SELON ACTIVITE</t>
  </si>
  <si>
    <t>Autres absences</t>
  </si>
  <si>
    <t>PERIODES</t>
  </si>
  <si>
    <t xml:space="preserve">MAJO </t>
  </si>
  <si>
    <t xml:space="preserve">PANIERS </t>
  </si>
  <si>
    <t>SIACI</t>
  </si>
  <si>
    <t xml:space="preserve">ABSENCE SANS SOLDE </t>
  </si>
  <si>
    <t>Abs sans solde</t>
  </si>
  <si>
    <t>1er PERIODE</t>
  </si>
  <si>
    <t>2e PERIODE</t>
  </si>
  <si>
    <t xml:space="preserve">Taux initial  </t>
  </si>
  <si>
    <t>à taux TPT</t>
  </si>
  <si>
    <t>3e PERIODE</t>
  </si>
  <si>
    <t>4e PERIODE</t>
  </si>
  <si>
    <t>TMF à 100%</t>
  </si>
  <si>
    <t>MAJ NUIT</t>
  </si>
  <si>
    <t>5e PERIODE</t>
  </si>
  <si>
    <t>P.TRANSFERT à 100%</t>
  </si>
  <si>
    <t>maj ferie</t>
  </si>
  <si>
    <t>6e PERIODE</t>
  </si>
  <si>
    <t>7e PERIODE</t>
  </si>
  <si>
    <t>8e PERIODE</t>
  </si>
  <si>
    <t>9e PERIODE</t>
  </si>
  <si>
    <t>10e PERIODE</t>
  </si>
  <si>
    <t>PANIERS + R226</t>
  </si>
  <si>
    <t>MONTANT SIACI =</t>
  </si>
  <si>
    <t>Montant qui a été réintégré</t>
  </si>
  <si>
    <t>Date début</t>
  </si>
  <si>
    <t>Date de fin</t>
  </si>
  <si>
    <t>Nb de jrs</t>
  </si>
  <si>
    <t>30ème</t>
  </si>
  <si>
    <t>Dont PUA/PFA</t>
  </si>
  <si>
    <t>RETABLI</t>
  </si>
  <si>
    <t>PUA =</t>
  </si>
  <si>
    <t>Perçu</t>
  </si>
  <si>
    <t xml:space="preserve">PUA PERCUE = </t>
  </si>
  <si>
    <t xml:space="preserve">PERTE = </t>
  </si>
  <si>
    <t xml:space="preserve">PERTE CPAM </t>
  </si>
  <si>
    <t>VIVINTER ON DECLARE LE PERCU</t>
  </si>
  <si>
    <t>AU</t>
  </si>
  <si>
    <t xml:space="preserve">DU </t>
  </si>
  <si>
    <t>ML37</t>
  </si>
  <si>
    <t>MALADIE</t>
  </si>
  <si>
    <t>CA</t>
  </si>
  <si>
    <t>JEM</t>
  </si>
  <si>
    <t>1E PERIODE</t>
  </si>
  <si>
    <t>2E PERIODE</t>
  </si>
  <si>
    <t xml:space="preserve">3E PERIODE </t>
  </si>
  <si>
    <t>4E PERIODE</t>
  </si>
  <si>
    <t>5E PERIODE</t>
  </si>
  <si>
    <t xml:space="preserve">REMU CA </t>
  </si>
  <si>
    <t>PANIERS+R226</t>
  </si>
  <si>
    <t>PERCU CPAM</t>
  </si>
  <si>
    <t>PERTE CPAM</t>
  </si>
  <si>
    <t xml:space="preserve">SOIT </t>
  </si>
  <si>
    <t>ATTESTATION DE TEMPS PARTIEL</t>
  </si>
  <si>
    <t>RISQUES :</t>
  </si>
  <si>
    <t>INCAPACITE</t>
  </si>
  <si>
    <t>INVALIDITE</t>
  </si>
  <si>
    <t>Nous soussignés Société AIR FRANCE , attestons le salaire perçu pour le(s) mois cité(s) en référence ci-dessous en activité partielle.</t>
  </si>
  <si>
    <t>IDENTIFICATION DU SALARIE</t>
  </si>
  <si>
    <t>N° SECURITE SOCIALE</t>
  </si>
  <si>
    <t>N° MATRICULE</t>
  </si>
  <si>
    <t>N° DOSSIER</t>
  </si>
  <si>
    <t xml:space="preserve">QUALIFICATION </t>
  </si>
  <si>
    <t>PS</t>
  </si>
  <si>
    <t>PNC</t>
  </si>
  <si>
    <t>PNT</t>
  </si>
  <si>
    <t>Taux d'activité partielle (50%, 60 %, 80 %, etc…)</t>
  </si>
  <si>
    <t>Période de référence</t>
  </si>
  <si>
    <t xml:space="preserve">Salaires bruts soumis à cotisation </t>
  </si>
  <si>
    <t>Dont PUA / PFA</t>
  </si>
  <si>
    <t>Autres primes</t>
  </si>
  <si>
    <t>Du</t>
  </si>
  <si>
    <t>Au</t>
  </si>
  <si>
    <t>(1)</t>
  </si>
  <si>
    <t>Salaires d'activité partielle (primes incluses) soumis à cotisation Prévoyance Maladie ;</t>
  </si>
  <si>
    <t>(2)</t>
  </si>
  <si>
    <t>A reconstituer en cas d'arrêt de travail sur la période considérée.</t>
  </si>
  <si>
    <t>Fait à :</t>
  </si>
  <si>
    <t>ROISSY CDG</t>
  </si>
  <si>
    <t>Cachet et Signature</t>
  </si>
  <si>
    <t>le :</t>
  </si>
  <si>
    <t>Nom du rédacteur :</t>
  </si>
  <si>
    <t>Téléphone :</t>
  </si>
  <si>
    <t>Mail :</t>
  </si>
  <si>
    <t>mail.csprh.vivinter@airfrance.fr</t>
  </si>
  <si>
    <t xml:space="preserve">Les informations recueillies font l’objet de traitements informatiques destinés à la passation, la promotion, la gestion et l’exécution des contrats proposés par </t>
  </si>
  <si>
    <t xml:space="preserve">notre groupe ainsi que le respect de nos obligations légales. Conformément à la loi «informatique et libertés» du 6 janvier 1978 modifiée en 2004, vous bénéficiez </t>
  </si>
  <si>
    <t xml:space="preserve">d’un droit d’accès et de rectification aux informations qui vous concernent, que vous pouvez exercer en vous adressant à : </t>
  </si>
  <si>
    <t>S2H – Service juridique – 18 rue de Courcelles 75384 Paris Cedex 08.</t>
  </si>
  <si>
    <r>
      <t xml:space="preserve">A retourner à </t>
    </r>
    <r>
      <rPr>
        <b/>
        <i/>
        <sz val="9"/>
        <color indexed="53"/>
        <rFont val="Arial Narrow"/>
        <family val="2"/>
      </rPr>
      <t>VIVINTER</t>
    </r>
    <r>
      <rPr>
        <b/>
        <i/>
        <sz val="9"/>
        <color indexed="63"/>
        <rFont val="Arial Narrow"/>
        <family val="2"/>
      </rPr>
      <t xml:space="preserve"> - Service Prevoyance - 82 rue Villeneuve - 92584 CLICHY Cedex - fax --&gt;</t>
    </r>
    <r>
      <rPr>
        <b/>
        <i/>
        <sz val="9"/>
        <color indexed="10"/>
        <rFont val="Arial Narrow"/>
        <family val="2"/>
      </rPr>
      <t xml:space="preserve"> </t>
    </r>
    <r>
      <rPr>
        <b/>
        <i/>
        <sz val="9"/>
        <color indexed="53"/>
        <rFont val="Arial Narrow"/>
        <family val="2"/>
      </rPr>
      <t xml:space="preserve">01 70 91 39 37 </t>
    </r>
    <r>
      <rPr>
        <b/>
        <i/>
        <sz val="9"/>
        <rFont val="Arial Narrow"/>
        <family val="2"/>
      </rPr>
      <t xml:space="preserve">- mail --&gt; </t>
    </r>
    <r>
      <rPr>
        <b/>
        <i/>
        <sz val="9"/>
        <color indexed="53"/>
        <rFont val="Arial Narrow"/>
        <family val="2"/>
      </rPr>
      <t>prevoyance@vivinter.fr</t>
    </r>
  </si>
  <si>
    <t>M.L. : SIACI SAINT HONORE - SA à directoire et Conseil de Surveillance - Capital de 14 143 816 € - 18 rue de Courcelles - 75384 PARIS Cedex 08</t>
  </si>
  <si>
    <t>572 059 939 RCS Paris - Courtage d'assurances - n° immatriculation ORIAS 07 000 771 - APE 6622 Z - n° de TVA Intracommunautaire : FR 54 572 059 939</t>
  </si>
  <si>
    <t>MOP OP Attestation Vivinter</t>
  </si>
  <si>
    <t>Ne compléter que les cases :</t>
  </si>
  <si>
    <t>Autres Primes</t>
  </si>
  <si>
    <t xml:space="preserve">Nom du rédacteur </t>
  </si>
  <si>
    <t xml:space="preserve">Téléphone </t>
  </si>
  <si>
    <t>Signature</t>
  </si>
  <si>
    <t>Envoi de l'attestation à Vivinter :</t>
  </si>
  <si>
    <t xml:space="preserve">Cliquer sur l'onglet "Fichier" en haut à gauche </t>
  </si>
  <si>
    <t>Cliquer sur "enregistrer une copie"</t>
  </si>
  <si>
    <r>
      <t xml:space="preserve">Sélectionner où vous souhaitez l'enregistrer sur votre bureau en indiquant le nom du fichier voulu </t>
    </r>
    <r>
      <rPr>
        <b/>
        <sz val="14"/>
        <color rgb="FFFF0000"/>
        <rFont val="Aptos Narrow"/>
        <family val="2"/>
        <scheme val="minor"/>
      </rPr>
      <t>ET</t>
    </r>
    <r>
      <rPr>
        <sz val="14"/>
        <color theme="3" tint="0.249977111117893"/>
        <rFont val="Aptos Narrow"/>
        <family val="2"/>
        <scheme val="minor"/>
      </rPr>
      <t xml:space="preserve"> sélectionner </t>
    </r>
    <r>
      <rPr>
        <b/>
        <sz val="14"/>
        <color rgb="FFFF0000"/>
        <rFont val="Aptos Narrow"/>
        <family val="2"/>
        <scheme val="minor"/>
      </rPr>
      <t>en PDF</t>
    </r>
    <r>
      <rPr>
        <sz val="14"/>
        <color theme="3" tint="0.249977111117893"/>
        <rFont val="Aptos Narrow"/>
        <family val="2"/>
        <scheme val="minor"/>
      </rPr>
      <t xml:space="preserve"> :</t>
    </r>
  </si>
  <si>
    <t>Vous pourrez ensuite enregistrer le fichier sur la GED et l'envoyer à vivinter via Neocase.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</si>
</sst>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dd/mm/yyyy;@"/>
    <numFmt numFmtId="165" formatCode="[&gt;=3000000000000]#&quot; &quot;##&quot; &quot;##&quot; &quot;##&quot; &quot;###&quot; &quot;###&quot; | &quot;##;#&quot; &quot;##&quot; &quot;##&quot; &quot;##&quot; &quot;###&quot; &quot;###"/>
    <numFmt numFmtId="166" formatCode="0;[Red]0"/>
    <numFmt numFmtId="167" formatCode="[$-40C]mmm\-yy;@"/>
    <numFmt numFmtId="168" formatCode="_-* #,##0.00\ _€_-;\-* #,##0.00\ _€_-;_-* &quot;-&quot;??\ _€_-;_-@_-"/>
    <numFmt numFmtId="169" formatCode="_-* #,##0.0000_-;\-* #,##0.0000_-;_-* &quot;-&quot;??_-;_-@_-"/>
    <numFmt numFmtId="170" formatCode="0.000"/>
    <numFmt numFmtId="171" formatCode="0.0000"/>
    <numFmt numFmtId="172" formatCode="#,##0.00\ &quot;€&quot;"/>
    <numFmt numFmtId="173" formatCode="0#&quot; &quot;##&quot; &quot;##&quot; &quot;##&quot; &quot;##"/>
  </numFmts>
  <fonts count="6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6" tint="-0.249977111117893"/>
      <name val="Times New Roman"/>
      <family val="1"/>
    </font>
    <font>
      <sz val="11"/>
      <color theme="6" tint="-0.249977111117893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6" tint="-0.249977111117893"/>
      <name val="Calibri"/>
      <family val="2"/>
    </font>
    <font>
      <sz val="11"/>
      <color rgb="FF000000"/>
      <name val="Calibri"/>
      <family val="2"/>
    </font>
    <font>
      <b/>
      <sz val="11"/>
      <color rgb="FFC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0"/>
      <name val="Arial"/>
      <family val="2"/>
    </font>
    <font>
      <b/>
      <shadow/>
      <sz val="16"/>
      <name val="Arial Rounded MT Bold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4"/>
      <color indexed="9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b/>
      <sz val="10"/>
      <color indexed="53"/>
      <name val="Arial"/>
      <family val="2"/>
    </font>
    <font>
      <sz val="10"/>
      <name val="Arial Narrow"/>
      <family val="2"/>
    </font>
    <font>
      <sz val="7"/>
      <name val="Arial"/>
      <family val="2"/>
    </font>
    <font>
      <b/>
      <sz val="7"/>
      <name val="Arial"/>
      <family val="2"/>
    </font>
    <font>
      <sz val="9"/>
      <name val="Arial"/>
      <family val="2"/>
    </font>
    <font>
      <b/>
      <i/>
      <sz val="9"/>
      <color indexed="63"/>
      <name val="Arial Narrow"/>
      <family val="2"/>
    </font>
    <font>
      <b/>
      <i/>
      <sz val="9"/>
      <color indexed="53"/>
      <name val="Arial Narrow"/>
      <family val="2"/>
    </font>
    <font>
      <b/>
      <i/>
      <sz val="9"/>
      <color indexed="10"/>
      <name val="Arial Narrow"/>
      <family val="2"/>
    </font>
    <font>
      <b/>
      <i/>
      <sz val="9"/>
      <name val="Arial Narrow"/>
      <family val="2"/>
    </font>
    <font>
      <b/>
      <i/>
      <sz val="11"/>
      <color indexed="63"/>
      <name val="Arial Narrow"/>
      <family val="2"/>
    </font>
    <font>
      <b/>
      <i/>
      <sz val="8"/>
      <color indexed="63"/>
      <name val="Arial Narrow"/>
      <family val="2"/>
    </font>
    <font>
      <b/>
      <i/>
      <sz val="5"/>
      <color indexed="63"/>
      <name val="Arial Narrow"/>
      <family val="2"/>
    </font>
    <font>
      <i/>
      <sz val="8"/>
      <name val="Arial"/>
      <family val="2"/>
    </font>
    <font>
      <b/>
      <sz val="14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3" tint="0.249977111117893"/>
      <name val="Aptos Narrow"/>
      <family val="2"/>
      <scheme val="minor"/>
    </font>
    <font>
      <sz val="14"/>
      <color theme="3" tint="0.249977111117893"/>
      <name val="Arial Narrow"/>
      <family val="2"/>
    </font>
    <font>
      <b/>
      <u/>
      <sz val="20"/>
      <color rgb="FFFF0000"/>
      <name val="Aptos Narrow"/>
      <family val="2"/>
      <scheme val="minor"/>
    </font>
    <font>
      <b/>
      <u/>
      <sz val="26"/>
      <color theme="6" tint="0.39997558519241921"/>
      <name val="Aptos Narrow"/>
      <family val="2"/>
      <scheme val="minor"/>
    </font>
    <font>
      <sz val="11"/>
      <color rgb="FF00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5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CAEDFB"/>
        <bgColor rgb="FF000000"/>
      </patternFill>
    </fill>
  </fills>
  <borders count="1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medium">
        <color indexed="64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7030A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medium">
        <color indexed="53"/>
      </left>
      <right/>
      <top style="medium">
        <color indexed="53"/>
      </top>
      <bottom/>
      <diagonal/>
    </border>
    <border>
      <left/>
      <right style="thin">
        <color indexed="53"/>
      </right>
      <top style="medium">
        <color indexed="53"/>
      </top>
      <bottom/>
      <diagonal/>
    </border>
    <border>
      <left style="thin">
        <color indexed="53"/>
      </left>
      <right style="thin">
        <color indexed="53"/>
      </right>
      <top style="medium">
        <color indexed="53"/>
      </top>
      <bottom/>
      <diagonal/>
    </border>
    <border>
      <left style="thin">
        <color indexed="53"/>
      </left>
      <right/>
      <top style="medium">
        <color indexed="53"/>
      </top>
      <bottom/>
      <diagonal/>
    </border>
    <border>
      <left/>
      <right style="medium">
        <color indexed="53"/>
      </right>
      <top style="medium">
        <color indexed="53"/>
      </top>
      <bottom/>
      <diagonal/>
    </border>
    <border>
      <left style="medium">
        <color indexed="53"/>
      </left>
      <right/>
      <top/>
      <bottom/>
      <diagonal/>
    </border>
    <border>
      <left/>
      <right style="thin">
        <color indexed="53"/>
      </right>
      <top/>
      <bottom/>
      <diagonal/>
    </border>
    <border>
      <left style="thin">
        <color indexed="53"/>
      </left>
      <right style="thin">
        <color indexed="53"/>
      </right>
      <top/>
      <bottom/>
      <diagonal/>
    </border>
    <border>
      <left style="thin">
        <color indexed="53"/>
      </left>
      <right/>
      <top/>
      <bottom/>
      <diagonal/>
    </border>
    <border>
      <left/>
      <right style="medium">
        <color indexed="53"/>
      </right>
      <top/>
      <bottom/>
      <diagonal/>
    </border>
    <border>
      <left style="medium">
        <color indexed="53"/>
      </left>
      <right style="thin">
        <color indexed="53"/>
      </right>
      <top style="medium">
        <color indexed="53"/>
      </top>
      <bottom/>
      <diagonal/>
    </border>
    <border>
      <left style="medium">
        <color theme="9" tint="-0.249977111117893"/>
      </left>
      <right style="thin">
        <color theme="9" tint="-0.249977111117893"/>
      </right>
      <top style="medium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medium">
        <color theme="9" tint="-0.249977111117893"/>
      </top>
      <bottom style="thin">
        <color theme="9" tint="-0.249977111117893"/>
      </bottom>
      <diagonal/>
    </border>
    <border>
      <left style="medium">
        <color theme="9" tint="-0.249977111117893"/>
      </left>
      <right style="thin">
        <color theme="9" tint="-0.249977111117893"/>
      </right>
      <top/>
      <bottom/>
      <diagonal/>
    </border>
    <border>
      <left style="medium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 style="medium">
        <color theme="9" tint="-0.249977111117893"/>
      </left>
      <right style="thin">
        <color theme="9" tint="-0.249977111117893"/>
      </right>
      <top/>
      <bottom style="medium">
        <color theme="9" tint="-0.249977111117893"/>
      </bottom>
      <diagonal/>
    </border>
    <border>
      <left/>
      <right style="thin">
        <color indexed="64"/>
      </right>
      <top/>
      <bottom style="medium">
        <color theme="9" tint="-0.249977111117893"/>
      </bottom>
      <diagonal/>
    </border>
    <border>
      <left style="thin">
        <color indexed="64"/>
      </left>
      <right style="thin">
        <color theme="9" tint="-0.249977111117893"/>
      </right>
      <top/>
      <bottom style="medium">
        <color theme="9" tint="-0.249977111117893"/>
      </bottom>
      <diagonal/>
    </border>
    <border>
      <left style="thin">
        <color indexed="52"/>
      </left>
      <right/>
      <top style="thin">
        <color indexed="52"/>
      </top>
      <bottom/>
      <diagonal/>
    </border>
    <border>
      <left/>
      <right/>
      <top style="thin">
        <color indexed="52"/>
      </top>
      <bottom/>
      <diagonal/>
    </border>
    <border>
      <left/>
      <right style="thin">
        <color indexed="52"/>
      </right>
      <top style="thin">
        <color indexed="52"/>
      </top>
      <bottom/>
      <diagonal/>
    </border>
    <border>
      <left style="thin">
        <color indexed="52"/>
      </left>
      <right/>
      <top/>
      <bottom/>
      <diagonal/>
    </border>
    <border>
      <left/>
      <right style="thin">
        <color indexed="52"/>
      </right>
      <top/>
      <bottom/>
      <diagonal/>
    </border>
    <border>
      <left style="thin">
        <color indexed="52"/>
      </left>
      <right/>
      <top/>
      <bottom style="thin">
        <color indexed="52"/>
      </bottom>
      <diagonal/>
    </border>
    <border>
      <left/>
      <right/>
      <top/>
      <bottom style="thin">
        <color indexed="52"/>
      </bottom>
      <diagonal/>
    </border>
    <border>
      <left/>
      <right style="thin">
        <color indexed="52"/>
      </right>
      <top/>
      <bottom style="thin">
        <color indexed="52"/>
      </bottom>
      <diagonal/>
    </border>
    <border>
      <left/>
      <right/>
      <top style="medium">
        <color theme="9" tint="-0.249977111117893"/>
      </top>
      <bottom style="thin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53"/>
      </right>
      <top/>
      <bottom style="medium">
        <color theme="9" tint="-0.249977111117893"/>
      </bottom>
      <diagonal/>
    </border>
    <border>
      <left style="thin">
        <color indexed="53"/>
      </left>
      <right style="thin">
        <color indexed="53"/>
      </right>
      <top/>
      <bottom style="medium">
        <color theme="9" tint="-0.249977111117893"/>
      </bottom>
      <diagonal/>
    </border>
    <border>
      <left style="thin">
        <color theme="9" tint="-0.249977111117893"/>
      </left>
      <right/>
      <top/>
      <bottom style="medium">
        <color theme="9" tint="-0.249977111117893"/>
      </bottom>
      <diagonal/>
    </border>
    <border>
      <left style="thin">
        <color theme="6" tint="-0.24994659260841701"/>
      </left>
      <right style="medium">
        <color theme="6" tint="-0.24994659260841701"/>
      </right>
      <top style="medium">
        <color theme="9" tint="-0.249977111117893"/>
      </top>
      <bottom style="thin">
        <color theme="9" tint="-0.249977111117893"/>
      </bottom>
      <diagonal/>
    </border>
    <border>
      <left style="thin">
        <color theme="6" tint="-0.24994659260841701"/>
      </left>
      <right style="medium">
        <color theme="6" tint="-0.24994659260841701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6" tint="-0.24994659260841701"/>
      </left>
      <right style="medium">
        <color theme="6" tint="-0.24994659260841701"/>
      </right>
      <top style="thin">
        <color theme="9" tint="-0.249977111117893"/>
      </top>
      <bottom style="medium">
        <color theme="6" tint="-0.24994659260841701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thin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thin">
        <color theme="9" tint="-0.249977111117893"/>
      </top>
      <bottom style="medium">
        <color theme="9" tint="-0.249977111117893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362">
    <xf numFmtId="0" fontId="0" fillId="0" borderId="0" xfId="0"/>
    <xf numFmtId="0" fontId="2" fillId="0" borderId="0" xfId="3" applyAlignment="1">
      <alignment horizontal="left" vertical="top"/>
    </xf>
    <xf numFmtId="0" fontId="3" fillId="0" borderId="0" xfId="3" applyFont="1" applyAlignment="1">
      <alignment horizontal="left" vertical="top"/>
    </xf>
    <xf numFmtId="0" fontId="2" fillId="0" borderId="0" xfId="3" applyAlignment="1">
      <alignment horizontal="left" wrapText="1"/>
    </xf>
    <xf numFmtId="0" fontId="3" fillId="0" borderId="0" xfId="3" applyFont="1" applyAlignment="1">
      <alignment wrapText="1"/>
    </xf>
    <xf numFmtId="0" fontId="3" fillId="0" borderId="0" xfId="3" applyFont="1" applyAlignment="1">
      <alignment horizontal="left" wrapText="1"/>
    </xf>
    <xf numFmtId="0" fontId="4" fillId="0" borderId="1" xfId="3" applyFont="1" applyBorder="1" applyAlignment="1">
      <alignment horizontal="left" vertical="top"/>
    </xf>
    <xf numFmtId="0" fontId="5" fillId="0" borderId="2" xfId="3" applyFont="1" applyBorder="1" applyAlignment="1">
      <alignment horizontal="left" wrapText="1"/>
    </xf>
    <xf numFmtId="0" fontId="3" fillId="0" borderId="2" xfId="3" applyFont="1" applyBorder="1" applyAlignment="1">
      <alignment wrapText="1"/>
    </xf>
    <xf numFmtId="44" fontId="6" fillId="0" borderId="2" xfId="3" applyNumberFormat="1" applyFont="1" applyBorder="1" applyAlignment="1">
      <alignment vertical="top" wrapText="1"/>
    </xf>
    <xf numFmtId="0" fontId="2" fillId="0" borderId="2" xfId="3" applyBorder="1" applyAlignment="1">
      <alignment horizontal="left" vertical="top"/>
    </xf>
    <xf numFmtId="0" fontId="3" fillId="0" borderId="2" xfId="3" applyFont="1" applyBorder="1" applyAlignment="1">
      <alignment horizontal="left" wrapText="1"/>
    </xf>
    <xf numFmtId="0" fontId="6" fillId="0" borderId="2" xfId="3" applyFont="1" applyBorder="1" applyAlignment="1">
      <alignment vertical="top" wrapText="1"/>
    </xf>
    <xf numFmtId="0" fontId="7" fillId="0" borderId="3" xfId="3" applyFont="1" applyBorder="1" applyAlignment="1">
      <alignment vertical="top" wrapText="1"/>
    </xf>
    <xf numFmtId="44" fontId="8" fillId="0" borderId="4" xfId="3" applyNumberFormat="1" applyFont="1" applyBorder="1" applyAlignment="1">
      <alignment vertical="top" wrapText="1"/>
    </xf>
    <xf numFmtId="44" fontId="8" fillId="0" borderId="0" xfId="3" applyNumberFormat="1" applyFont="1" applyAlignment="1">
      <alignment vertical="top" wrapText="1"/>
    </xf>
    <xf numFmtId="44" fontId="6" fillId="0" borderId="0" xfId="3" applyNumberFormat="1" applyFont="1" applyAlignment="1">
      <alignment vertical="top" wrapText="1"/>
    </xf>
    <xf numFmtId="0" fontId="6" fillId="0" borderId="0" xfId="3" applyFont="1" applyAlignment="1">
      <alignment vertical="top" wrapText="1"/>
    </xf>
    <xf numFmtId="164" fontId="9" fillId="0" borderId="5" xfId="3" applyNumberFormat="1" applyFont="1" applyBorder="1" applyAlignment="1">
      <alignment vertical="top" shrinkToFit="1"/>
    </xf>
    <xf numFmtId="0" fontId="9" fillId="0" borderId="5" xfId="3" applyFont="1" applyBorder="1" applyAlignment="1">
      <alignment horizontal="center" vertical="top" shrinkToFit="1"/>
    </xf>
    <xf numFmtId="0" fontId="6" fillId="0" borderId="6" xfId="3" applyFont="1" applyBorder="1" applyAlignment="1">
      <alignment horizontal="center" vertical="top" wrapText="1"/>
    </xf>
    <xf numFmtId="164" fontId="9" fillId="0" borderId="6" xfId="3" applyNumberFormat="1" applyFont="1" applyBorder="1" applyAlignment="1">
      <alignment vertical="top" shrinkToFit="1"/>
    </xf>
    <xf numFmtId="0" fontId="6" fillId="0" borderId="7" xfId="3" applyFont="1" applyBorder="1" applyAlignment="1">
      <alignment horizontal="center" vertical="top" wrapText="1"/>
    </xf>
    <xf numFmtId="0" fontId="6" fillId="0" borderId="8" xfId="3" applyFont="1" applyBorder="1" applyAlignment="1">
      <alignment horizontal="center" vertical="top" wrapText="1"/>
    </xf>
    <xf numFmtId="44" fontId="2" fillId="0" borderId="0" xfId="3" applyNumberFormat="1" applyAlignment="1">
      <alignment horizontal="left" vertical="top"/>
    </xf>
    <xf numFmtId="0" fontId="6" fillId="0" borderId="9" xfId="3" applyFont="1" applyBorder="1" applyAlignment="1">
      <alignment horizontal="center" vertical="top" wrapText="1"/>
    </xf>
    <xf numFmtId="9" fontId="8" fillId="0" borderId="10" xfId="3" applyNumberFormat="1" applyFont="1" applyBorder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left" vertical="top" wrapText="1"/>
    </xf>
    <xf numFmtId="0" fontId="7" fillId="0" borderId="11" xfId="3" applyFont="1" applyBorder="1" applyAlignment="1">
      <alignment vertical="top" wrapText="1"/>
    </xf>
    <xf numFmtId="0" fontId="2" fillId="0" borderId="11" xfId="3" applyBorder="1" applyAlignment="1">
      <alignment horizontal="left" vertical="top"/>
    </xf>
    <xf numFmtId="0" fontId="7" fillId="0" borderId="12" xfId="3" applyFont="1" applyBorder="1" applyAlignment="1">
      <alignment vertical="top" wrapText="1"/>
    </xf>
    <xf numFmtId="0" fontId="7" fillId="2" borderId="13" xfId="3" applyFont="1" applyFill="1" applyBorder="1" applyAlignment="1">
      <alignment vertical="top" wrapText="1"/>
    </xf>
    <xf numFmtId="44" fontId="10" fillId="0" borderId="14" xfId="3" applyNumberFormat="1" applyFont="1" applyBorder="1" applyAlignment="1">
      <alignment horizontal="center" wrapText="1"/>
    </xf>
    <xf numFmtId="44" fontId="10" fillId="0" borderId="15" xfId="3" applyNumberFormat="1" applyFont="1" applyBorder="1" applyAlignment="1">
      <alignment horizontal="center" wrapText="1"/>
    </xf>
    <xf numFmtId="164" fontId="9" fillId="0" borderId="15" xfId="3" applyNumberFormat="1" applyFont="1" applyBorder="1" applyAlignment="1">
      <alignment vertical="top" shrinkToFit="1"/>
    </xf>
    <xf numFmtId="0" fontId="6" fillId="0" borderId="15" xfId="3" applyFont="1" applyBorder="1" applyAlignment="1">
      <alignment horizontal="center" vertical="top" wrapText="1"/>
    </xf>
    <xf numFmtId="164" fontId="9" fillId="0" borderId="16" xfId="3" applyNumberFormat="1" applyFont="1" applyBorder="1" applyAlignment="1">
      <alignment vertical="top" shrinkToFit="1"/>
    </xf>
    <xf numFmtId="44" fontId="6" fillId="0" borderId="14" xfId="2" applyFont="1" applyBorder="1" applyAlignment="1">
      <alignment vertical="top" wrapText="1"/>
    </xf>
    <xf numFmtId="44" fontId="6" fillId="0" borderId="17" xfId="3" applyNumberFormat="1" applyFont="1" applyBorder="1" applyAlignment="1">
      <alignment horizontal="left" vertical="top" wrapText="1" indent="1"/>
    </xf>
    <xf numFmtId="44" fontId="6" fillId="3" borderId="17" xfId="2" applyFont="1" applyFill="1" applyBorder="1" applyAlignment="1">
      <alignment vertical="top" wrapText="1"/>
    </xf>
    <xf numFmtId="44" fontId="6" fillId="3" borderId="18" xfId="2" applyFont="1" applyFill="1" applyBorder="1" applyAlignment="1">
      <alignment horizontal="left" vertical="top" wrapText="1" indent="1"/>
    </xf>
    <xf numFmtId="1" fontId="9" fillId="0" borderId="18" xfId="3" applyNumberFormat="1" applyFont="1" applyBorder="1" applyAlignment="1">
      <alignment horizontal="right" vertical="top" shrinkToFit="1"/>
    </xf>
    <xf numFmtId="0" fontId="6" fillId="0" borderId="19" xfId="3" applyFont="1" applyBorder="1" applyAlignment="1">
      <alignment horizontal="left" vertical="top" wrapText="1"/>
    </xf>
    <xf numFmtId="44" fontId="10" fillId="0" borderId="20" xfId="3" applyNumberFormat="1" applyFont="1" applyBorder="1" applyAlignment="1">
      <alignment horizontal="center" wrapText="1"/>
    </xf>
    <xf numFmtId="44" fontId="10" fillId="0" borderId="5" xfId="3" applyNumberFormat="1" applyFont="1" applyBorder="1" applyAlignment="1">
      <alignment horizontal="center" wrapText="1"/>
    </xf>
    <xf numFmtId="0" fontId="6" fillId="0" borderId="5" xfId="3" applyFont="1" applyBorder="1" applyAlignment="1">
      <alignment horizontal="center" vertical="top" wrapText="1"/>
    </xf>
    <xf numFmtId="164" fontId="9" fillId="0" borderId="9" xfId="3" applyNumberFormat="1" applyFont="1" applyBorder="1" applyAlignment="1">
      <alignment vertical="top" shrinkToFit="1"/>
    </xf>
    <xf numFmtId="0" fontId="7" fillId="0" borderId="13" xfId="3" applyFont="1" applyBorder="1" applyAlignment="1">
      <alignment vertical="top" wrapText="1"/>
    </xf>
    <xf numFmtId="44" fontId="6" fillId="0" borderId="21" xfId="2" applyFont="1" applyBorder="1" applyAlignment="1">
      <alignment horizontal="left" vertical="top" wrapText="1" indent="1"/>
    </xf>
    <xf numFmtId="0" fontId="7" fillId="0" borderId="22" xfId="3" applyFont="1" applyBorder="1" applyAlignment="1">
      <alignment vertical="top" wrapText="1"/>
    </xf>
    <xf numFmtId="0" fontId="2" fillId="0" borderId="0" xfId="3" applyAlignment="1">
      <alignment vertical="top" wrapText="1"/>
    </xf>
    <xf numFmtId="44" fontId="10" fillId="0" borderId="23" xfId="3" applyNumberFormat="1" applyFont="1" applyBorder="1" applyAlignment="1">
      <alignment horizontal="center" wrapText="1"/>
    </xf>
    <xf numFmtId="164" fontId="9" fillId="0" borderId="23" xfId="3" applyNumberFormat="1" applyFont="1" applyBorder="1" applyAlignment="1">
      <alignment vertical="top" shrinkToFit="1"/>
    </xf>
    <xf numFmtId="0" fontId="6" fillId="0" borderId="23" xfId="3" applyFont="1" applyBorder="1" applyAlignment="1">
      <alignment horizontal="center" vertical="top" wrapText="1"/>
    </xf>
    <xf numFmtId="164" fontId="9" fillId="0" borderId="24" xfId="3" applyNumberFormat="1" applyFont="1" applyBorder="1" applyAlignment="1">
      <alignment vertical="top" shrinkToFit="1"/>
    </xf>
    <xf numFmtId="0" fontId="7" fillId="0" borderId="0" xfId="3" applyFont="1" applyAlignment="1">
      <alignment vertical="top" wrapText="1"/>
    </xf>
    <xf numFmtId="9" fontId="11" fillId="0" borderId="25" xfId="3" applyNumberFormat="1" applyFont="1" applyBorder="1" applyAlignment="1">
      <alignment horizontal="center" vertical="top"/>
    </xf>
    <xf numFmtId="0" fontId="7" fillId="4" borderId="0" xfId="3" applyFont="1" applyFill="1" applyAlignment="1">
      <alignment vertical="top" wrapText="1"/>
    </xf>
    <xf numFmtId="0" fontId="3" fillId="0" borderId="0" xfId="3" applyFont="1" applyAlignment="1">
      <alignment horizontal="center" wrapText="1"/>
    </xf>
    <xf numFmtId="0" fontId="2" fillId="0" borderId="0" xfId="3" applyAlignment="1">
      <alignment horizontal="left" vertical="top" wrapText="1"/>
    </xf>
    <xf numFmtId="0" fontId="3" fillId="0" borderId="0" xfId="3" applyFont="1" applyAlignment="1">
      <alignment horizontal="left" vertical="top" wrapText="1"/>
    </xf>
    <xf numFmtId="1" fontId="9" fillId="0" borderId="5" xfId="3" applyNumberFormat="1" applyFont="1" applyBorder="1" applyAlignment="1">
      <alignment horizontal="center" vertical="top" shrinkToFit="1"/>
    </xf>
    <xf numFmtId="164" fontId="9" fillId="3" borderId="6" xfId="3" applyNumberFormat="1" applyFont="1" applyFill="1" applyBorder="1" applyAlignment="1">
      <alignment vertical="top" shrinkToFit="1"/>
    </xf>
    <xf numFmtId="0" fontId="6" fillId="0" borderId="28" xfId="3" applyFont="1" applyBorder="1" applyAlignment="1">
      <alignment horizontal="center" vertical="top" wrapText="1"/>
    </xf>
    <xf numFmtId="0" fontId="6" fillId="0" borderId="29" xfId="3" applyFont="1" applyBorder="1" applyAlignment="1">
      <alignment vertical="top" wrapText="1"/>
    </xf>
    <xf numFmtId="44" fontId="7" fillId="0" borderId="2" xfId="3" applyNumberFormat="1" applyFont="1" applyBorder="1" applyAlignment="1">
      <alignment vertical="top" wrapText="1"/>
    </xf>
    <xf numFmtId="0" fontId="7" fillId="0" borderId="2" xfId="3" applyFont="1" applyBorder="1" applyAlignment="1">
      <alignment horizontal="right" vertical="top" wrapText="1"/>
    </xf>
    <xf numFmtId="0" fontId="3" fillId="0" borderId="0" xfId="3" applyFont="1" applyAlignment="1">
      <alignment vertical="top" wrapText="1"/>
    </xf>
    <xf numFmtId="0" fontId="6" fillId="0" borderId="6" xfId="3" applyFont="1" applyBorder="1" applyAlignment="1">
      <alignment vertical="top" wrapText="1"/>
    </xf>
    <xf numFmtId="44" fontId="6" fillId="3" borderId="2" xfId="2" applyFont="1" applyFill="1" applyBorder="1" applyAlignment="1">
      <alignment horizontal="left" vertical="top" wrapText="1" indent="1"/>
    </xf>
    <xf numFmtId="44" fontId="6" fillId="3" borderId="0" xfId="2" applyFont="1" applyFill="1" applyBorder="1" applyAlignment="1">
      <alignment horizontal="left" vertical="top" wrapText="1" indent="1"/>
    </xf>
    <xf numFmtId="164" fontId="9" fillId="3" borderId="6" xfId="3" applyNumberFormat="1" applyFont="1" applyFill="1" applyBorder="1" applyAlignment="1">
      <alignment horizontal="center" vertical="top" shrinkToFit="1"/>
    </xf>
    <xf numFmtId="44" fontId="6" fillId="0" borderId="0" xfId="2" applyFont="1" applyBorder="1" applyAlignment="1">
      <alignment horizontal="left" vertical="top" wrapText="1" indent="1"/>
    </xf>
    <xf numFmtId="166" fontId="9" fillId="3" borderId="0" xfId="1" applyNumberFormat="1" applyFont="1" applyFill="1" applyAlignment="1">
      <alignment vertical="center" wrapText="1"/>
    </xf>
    <xf numFmtId="167" fontId="9" fillId="3" borderId="30" xfId="1" applyNumberFormat="1" applyFont="1" applyFill="1" applyBorder="1" applyAlignment="1">
      <alignment vertical="center" wrapText="1"/>
    </xf>
    <xf numFmtId="168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12" fillId="0" borderId="0" xfId="0" applyFont="1"/>
    <xf numFmtId="168" fontId="0" fillId="5" borderId="32" xfId="0" applyNumberFormat="1" applyFill="1" applyBorder="1"/>
    <xf numFmtId="0" fontId="0" fillId="0" borderId="2" xfId="0" applyBorder="1"/>
    <xf numFmtId="168" fontId="15" fillId="0" borderId="0" xfId="0" applyNumberFormat="1" applyFont="1"/>
    <xf numFmtId="43" fontId="0" fillId="0" borderId="0" xfId="1" applyFont="1" applyBorder="1"/>
    <xf numFmtId="0" fontId="0" fillId="0" borderId="31" xfId="0" applyBorder="1"/>
    <xf numFmtId="169" fontId="0" fillId="0" borderId="11" xfId="1" applyNumberFormat="1" applyFont="1" applyBorder="1"/>
    <xf numFmtId="0" fontId="0" fillId="0" borderId="11" xfId="0" applyBorder="1"/>
    <xf numFmtId="14" fontId="0" fillId="7" borderId="11" xfId="0" applyNumberFormat="1" applyFill="1" applyBorder="1"/>
    <xf numFmtId="170" fontId="0" fillId="0" borderId="0" xfId="0" applyNumberFormat="1"/>
    <xf numFmtId="169" fontId="0" fillId="0" borderId="0" xfId="1" applyNumberFormat="1" applyFont="1" applyBorder="1"/>
    <xf numFmtId="0" fontId="16" fillId="0" borderId="0" xfId="0" applyFont="1"/>
    <xf numFmtId="0" fontId="0" fillId="0" borderId="0" xfId="0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39" xfId="0" applyBorder="1"/>
    <xf numFmtId="0" fontId="12" fillId="0" borderId="3" xfId="0" applyFont="1" applyBorder="1" applyAlignment="1">
      <alignment horizontal="right"/>
    </xf>
    <xf numFmtId="0" fontId="0" fillId="7" borderId="4" xfId="0" applyFill="1" applyBorder="1"/>
    <xf numFmtId="43" fontId="0" fillId="0" borderId="0" xfId="1" applyFont="1" applyFill="1" applyBorder="1"/>
    <xf numFmtId="0" fontId="0" fillId="7" borderId="10" xfId="0" applyFill="1" applyBorder="1"/>
    <xf numFmtId="0" fontId="18" fillId="0" borderId="0" xfId="0" applyFont="1"/>
    <xf numFmtId="0" fontId="18" fillId="7" borderId="0" xfId="0" applyFont="1" applyFill="1"/>
    <xf numFmtId="43" fontId="0" fillId="0" borderId="0" xfId="1" applyFont="1"/>
    <xf numFmtId="43" fontId="0" fillId="7" borderId="2" xfId="1" applyFont="1" applyFill="1" applyBorder="1"/>
    <xf numFmtId="43" fontId="0" fillId="7" borderId="0" xfId="1" applyFont="1" applyFill="1"/>
    <xf numFmtId="0" fontId="12" fillId="0" borderId="41" xfId="0" applyFont="1" applyBorder="1" applyAlignment="1">
      <alignment horizontal="center"/>
    </xf>
    <xf numFmtId="0" fontId="0" fillId="0" borderId="5" xfId="0" applyBorder="1"/>
    <xf numFmtId="0" fontId="12" fillId="0" borderId="42" xfId="0" applyFont="1" applyBorder="1" applyAlignment="1">
      <alignment horizontal="center"/>
    </xf>
    <xf numFmtId="10" fontId="0" fillId="7" borderId="0" xfId="0" applyNumberFormat="1" applyFill="1" applyAlignment="1">
      <alignment horizontal="left"/>
    </xf>
    <xf numFmtId="0" fontId="12" fillId="0" borderId="0" xfId="0" applyFont="1" applyAlignment="1">
      <alignment horizontal="right"/>
    </xf>
    <xf numFmtId="14" fontId="0" fillId="7" borderId="0" xfId="0" applyNumberFormat="1" applyFill="1" applyAlignment="1">
      <alignment horizontal="right"/>
    </xf>
    <xf numFmtId="0" fontId="0" fillId="7" borderId="0" xfId="0" applyFill="1" applyAlignment="1">
      <alignment horizontal="right"/>
    </xf>
    <xf numFmtId="0" fontId="12" fillId="7" borderId="0" xfId="0" applyFont="1" applyFill="1"/>
    <xf numFmtId="165" fontId="0" fillId="7" borderId="0" xfId="0" applyNumberFormat="1" applyFill="1" applyAlignment="1">
      <alignment horizontal="right"/>
    </xf>
    <xf numFmtId="17" fontId="12" fillId="7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44" fontId="0" fillId="5" borderId="32" xfId="5" applyFont="1" applyFill="1" applyBorder="1"/>
    <xf numFmtId="44" fontId="13" fillId="6" borderId="34" xfId="5" applyFont="1" applyFill="1" applyBorder="1" applyAlignment="1"/>
    <xf numFmtId="44" fontId="13" fillId="8" borderId="34" xfId="5" applyFont="1" applyFill="1" applyBorder="1" applyAlignment="1">
      <alignment horizontal="right"/>
    </xf>
    <xf numFmtId="43" fontId="16" fillId="0" borderId="2" xfId="1" applyFont="1" applyFill="1" applyBorder="1"/>
    <xf numFmtId="43" fontId="21" fillId="0" borderId="0" xfId="1" applyFont="1" applyFill="1" applyBorder="1"/>
    <xf numFmtId="169" fontId="0" fillId="0" borderId="40" xfId="1" applyNumberFormat="1" applyFont="1" applyBorder="1"/>
    <xf numFmtId="14" fontId="0" fillId="7" borderId="13" xfId="0" applyNumberFormat="1" applyFill="1" applyBorder="1"/>
    <xf numFmtId="168" fontId="12" fillId="0" borderId="0" xfId="0" applyNumberFormat="1" applyFont="1" applyAlignment="1">
      <alignment horizontal="right"/>
    </xf>
    <xf numFmtId="43" fontId="12" fillId="0" borderId="0" xfId="1" applyFont="1" applyFill="1" applyBorder="1"/>
    <xf numFmtId="43" fontId="0" fillId="7" borderId="32" xfId="1" applyFont="1" applyFill="1" applyBorder="1"/>
    <xf numFmtId="0" fontId="12" fillId="0" borderId="22" xfId="0" applyFont="1" applyBorder="1" applyAlignment="1">
      <alignment horizontal="center" vertical="center" wrapText="1"/>
    </xf>
    <xf numFmtId="14" fontId="12" fillId="9" borderId="0" xfId="0" applyNumberFormat="1" applyFont="1" applyFill="1"/>
    <xf numFmtId="0" fontId="12" fillId="9" borderId="31" xfId="0" applyFont="1" applyFill="1" applyBorder="1"/>
    <xf numFmtId="14" fontId="12" fillId="7" borderId="11" xfId="0" applyNumberFormat="1" applyFont="1" applyFill="1" applyBorder="1"/>
    <xf numFmtId="43" fontId="12" fillId="10" borderId="0" xfId="1" applyFont="1" applyFill="1" applyBorder="1"/>
    <xf numFmtId="0" fontId="12" fillId="11" borderId="37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44" fontId="0" fillId="0" borderId="5" xfId="2" applyFont="1" applyBorder="1"/>
    <xf numFmtId="0" fontId="12" fillId="0" borderId="44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8" xfId="0" applyBorder="1" applyAlignment="1">
      <alignment horizontal="center"/>
    </xf>
    <xf numFmtId="44" fontId="23" fillId="0" borderId="32" xfId="2" applyFont="1" applyBorder="1"/>
    <xf numFmtId="0" fontId="21" fillId="0" borderId="0" xfId="0" applyFont="1"/>
    <xf numFmtId="43" fontId="16" fillId="0" borderId="0" xfId="1" applyFont="1" applyFill="1" applyBorder="1"/>
    <xf numFmtId="43" fontId="14" fillId="0" borderId="2" xfId="1" applyFont="1" applyFill="1" applyBorder="1"/>
    <xf numFmtId="43" fontId="24" fillId="0" borderId="2" xfId="1" applyFont="1" applyFill="1" applyBorder="1"/>
    <xf numFmtId="0" fontId="24" fillId="0" borderId="3" xfId="0" applyFont="1" applyBorder="1"/>
    <xf numFmtId="43" fontId="12" fillId="3" borderId="13" xfId="1" applyFont="1" applyFill="1" applyBorder="1" applyAlignment="1">
      <alignment horizontal="right"/>
    </xf>
    <xf numFmtId="0" fontId="12" fillId="12" borderId="31" xfId="0" applyFont="1" applyFill="1" applyBorder="1" applyAlignment="1">
      <alignment horizontal="right"/>
    </xf>
    <xf numFmtId="0" fontId="6" fillId="0" borderId="46" xfId="3" applyFont="1" applyBorder="1" applyAlignment="1">
      <alignment vertical="top" wrapText="1"/>
    </xf>
    <xf numFmtId="164" fontId="9" fillId="3" borderId="46" xfId="3" applyNumberFormat="1" applyFont="1" applyFill="1" applyBorder="1" applyAlignment="1">
      <alignment vertical="top" shrinkToFit="1"/>
    </xf>
    <xf numFmtId="0" fontId="6" fillId="0" borderId="47" xfId="3" applyFont="1" applyBorder="1" applyAlignment="1">
      <alignment horizontal="center" vertical="top" wrapText="1"/>
    </xf>
    <xf numFmtId="164" fontId="9" fillId="3" borderId="47" xfId="3" applyNumberFormat="1" applyFont="1" applyFill="1" applyBorder="1" applyAlignment="1">
      <alignment horizontal="center" vertical="top" shrinkToFit="1"/>
    </xf>
    <xf numFmtId="0" fontId="7" fillId="0" borderId="5" xfId="3" applyFont="1" applyBorder="1" applyAlignment="1">
      <alignment horizontal="center" vertical="top" wrapText="1"/>
    </xf>
    <xf numFmtId="14" fontId="9" fillId="0" borderId="0" xfId="3" applyNumberFormat="1" applyFont="1" applyAlignment="1">
      <alignment horizontal="center" wrapText="1"/>
    </xf>
    <xf numFmtId="43" fontId="24" fillId="0" borderId="0" xfId="1" applyFont="1" applyFill="1" applyBorder="1"/>
    <xf numFmtId="0" fontId="24" fillId="0" borderId="31" xfId="0" applyFont="1" applyBorder="1"/>
    <xf numFmtId="0" fontId="2" fillId="3" borderId="5" xfId="3" applyFill="1" applyBorder="1" applyAlignment="1">
      <alignment horizontal="left" vertical="top"/>
    </xf>
    <xf numFmtId="0" fontId="7" fillId="0" borderId="48" xfId="3" applyFont="1" applyBorder="1" applyAlignment="1">
      <alignment vertical="top" wrapText="1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43" fontId="0" fillId="0" borderId="0" xfId="0" applyNumberFormat="1" applyAlignment="1">
      <alignment horizontal="right"/>
    </xf>
    <xf numFmtId="43" fontId="0" fillId="0" borderId="52" xfId="0" applyNumberFormat="1" applyBorder="1" applyAlignment="1">
      <alignment horizontal="right"/>
    </xf>
    <xf numFmtId="166" fontId="0" fillId="0" borderId="0" xfId="1" applyNumberFormat="1" applyFont="1" applyFill="1" applyAlignment="1"/>
    <xf numFmtId="165" fontId="0" fillId="0" borderId="0" xfId="0" applyNumberFormat="1"/>
    <xf numFmtId="43" fontId="0" fillId="0" borderId="55" xfId="0" applyNumberFormat="1" applyBorder="1" applyAlignment="1">
      <alignment horizontal="right"/>
    </xf>
    <xf numFmtId="43" fontId="0" fillId="0" borderId="53" xfId="0" applyNumberFormat="1" applyBorder="1" applyAlignment="1">
      <alignment horizontal="right"/>
    </xf>
    <xf numFmtId="43" fontId="0" fillId="0" borderId="56" xfId="0" applyNumberFormat="1" applyBorder="1" applyAlignment="1">
      <alignment horizontal="right"/>
    </xf>
    <xf numFmtId="43" fontId="0" fillId="0" borderId="49" xfId="0" applyNumberFormat="1" applyBorder="1" applyAlignment="1">
      <alignment horizontal="right"/>
    </xf>
    <xf numFmtId="43" fontId="0" fillId="0" borderId="50" xfId="0" applyNumberFormat="1" applyBorder="1" applyAlignment="1">
      <alignment horizontal="right"/>
    </xf>
    <xf numFmtId="43" fontId="0" fillId="0" borderId="51" xfId="0" applyNumberFormat="1" applyBorder="1" applyAlignment="1">
      <alignment horizontal="right"/>
    </xf>
    <xf numFmtId="43" fontId="0" fillId="0" borderId="54" xfId="0" applyNumberFormat="1" applyBorder="1" applyAlignment="1">
      <alignment horizontal="right"/>
    </xf>
    <xf numFmtId="0" fontId="17" fillId="0" borderId="0" xfId="4" applyBorder="1"/>
    <xf numFmtId="0" fontId="22" fillId="0" borderId="0" xfId="0" applyFont="1"/>
    <xf numFmtId="0" fontId="25" fillId="0" borderId="0" xfId="0" applyFont="1"/>
    <xf numFmtId="0" fontId="0" fillId="10" borderId="0" xfId="0" applyFill="1"/>
    <xf numFmtId="43" fontId="27" fillId="0" borderId="2" xfId="1" applyFont="1" applyFill="1" applyBorder="1"/>
    <xf numFmtId="43" fontId="13" fillId="0" borderId="0" xfId="1" applyFont="1" applyFill="1" applyBorder="1"/>
    <xf numFmtId="43" fontId="13" fillId="0" borderId="2" xfId="1" applyFont="1" applyFill="1" applyBorder="1"/>
    <xf numFmtId="0" fontId="12" fillId="0" borderId="2" xfId="0" applyFont="1" applyBorder="1"/>
    <xf numFmtId="0" fontId="15" fillId="0" borderId="31" xfId="0" applyFont="1" applyBorder="1"/>
    <xf numFmtId="43" fontId="15" fillId="0" borderId="0" xfId="1" applyFont="1" applyFill="1" applyBorder="1"/>
    <xf numFmtId="43" fontId="13" fillId="6" borderId="34" xfId="1" applyFont="1" applyFill="1" applyBorder="1"/>
    <xf numFmtId="44" fontId="2" fillId="0" borderId="0" xfId="3" applyNumberFormat="1" applyAlignment="1">
      <alignment horizontal="left" wrapText="1"/>
    </xf>
    <xf numFmtId="0" fontId="0" fillId="0" borderId="43" xfId="0" applyBorder="1"/>
    <xf numFmtId="43" fontId="0" fillId="0" borderId="40" xfId="1" applyFont="1" applyBorder="1"/>
    <xf numFmtId="43" fontId="12" fillId="3" borderId="40" xfId="1" applyFont="1" applyFill="1" applyBorder="1" applyAlignment="1">
      <alignment horizontal="right"/>
    </xf>
    <xf numFmtId="43" fontId="12" fillId="12" borderId="40" xfId="1" applyFont="1" applyFill="1" applyBorder="1" applyAlignment="1" applyProtection="1">
      <alignment horizontal="right"/>
    </xf>
    <xf numFmtId="0" fontId="0" fillId="0" borderId="57" xfId="0" applyBorder="1"/>
    <xf numFmtId="0" fontId="0" fillId="0" borderId="40" xfId="0" applyBorder="1"/>
    <xf numFmtId="0" fontId="0" fillId="0" borderId="58" xfId="0" applyBorder="1"/>
    <xf numFmtId="0" fontId="0" fillId="0" borderId="59" xfId="0" applyBorder="1"/>
    <xf numFmtId="43" fontId="12" fillId="0" borderId="59" xfId="1" applyFont="1" applyBorder="1"/>
    <xf numFmtId="43" fontId="0" fillId="0" borderId="59" xfId="1" applyFont="1" applyBorder="1"/>
    <xf numFmtId="43" fontId="0" fillId="0" borderId="60" xfId="1" applyFont="1" applyBorder="1"/>
    <xf numFmtId="9" fontId="12" fillId="0" borderId="61" xfId="0" applyNumberFormat="1" applyFont="1" applyBorder="1" applyAlignment="1">
      <alignment horizontal="center" vertical="center"/>
    </xf>
    <xf numFmtId="0" fontId="12" fillId="9" borderId="30" xfId="0" applyFont="1" applyFill="1" applyBorder="1"/>
    <xf numFmtId="171" fontId="0" fillId="0" borderId="0" xfId="0" applyNumberFormat="1"/>
    <xf numFmtId="0" fontId="0" fillId="0" borderId="30" xfId="0" applyBorder="1"/>
    <xf numFmtId="0" fontId="25" fillId="0" borderId="30" xfId="0" applyFont="1" applyBorder="1"/>
    <xf numFmtId="0" fontId="24" fillId="0" borderId="62" xfId="0" applyFont="1" applyBorder="1"/>
    <xf numFmtId="14" fontId="12" fillId="7" borderId="63" xfId="0" applyNumberFormat="1" applyFont="1" applyFill="1" applyBorder="1"/>
    <xf numFmtId="0" fontId="14" fillId="0" borderId="62" xfId="0" applyFont="1" applyBorder="1"/>
    <xf numFmtId="0" fontId="27" fillId="0" borderId="62" xfId="0" applyFont="1" applyBorder="1"/>
    <xf numFmtId="0" fontId="24" fillId="0" borderId="64" xfId="0" applyFont="1" applyBorder="1"/>
    <xf numFmtId="43" fontId="24" fillId="0" borderId="65" xfId="1" applyFont="1" applyFill="1" applyBorder="1"/>
    <xf numFmtId="0" fontId="0" fillId="0" borderId="65" xfId="0" applyBorder="1"/>
    <xf numFmtId="14" fontId="12" fillId="7" borderId="30" xfId="0" applyNumberFormat="1" applyFont="1" applyFill="1" applyBorder="1"/>
    <xf numFmtId="14" fontId="12" fillId="7" borderId="0" xfId="0" applyNumberFormat="1" applyFont="1" applyFill="1"/>
    <xf numFmtId="171" fontId="0" fillId="0" borderId="11" xfId="0" applyNumberFormat="1" applyBorder="1"/>
    <xf numFmtId="0" fontId="0" fillId="0" borderId="66" xfId="0" applyBorder="1"/>
    <xf numFmtId="0" fontId="12" fillId="0" borderId="32" xfId="0" applyFont="1" applyBorder="1" applyAlignment="1">
      <alignment horizontal="right" vertical="center"/>
    </xf>
    <xf numFmtId="10" fontId="0" fillId="7" borderId="0" xfId="0" applyNumberFormat="1" applyFill="1" applyAlignment="1">
      <alignment horizontal="right"/>
    </xf>
    <xf numFmtId="9" fontId="0" fillId="0" borderId="0" xfId="0" applyNumberFormat="1" applyAlignment="1">
      <alignment horizontal="left"/>
    </xf>
    <xf numFmtId="43" fontId="0" fillId="0" borderId="0" xfId="0" applyNumberFormat="1"/>
    <xf numFmtId="0" fontId="7" fillId="0" borderId="11" xfId="3" applyFont="1" applyBorder="1" applyAlignment="1">
      <alignment horizontal="center" vertical="top" wrapText="1"/>
    </xf>
    <xf numFmtId="9" fontId="7" fillId="0" borderId="10" xfId="3" applyNumberFormat="1" applyFont="1" applyBorder="1" applyAlignment="1">
      <alignment horizontal="center" vertical="top" wrapText="1"/>
    </xf>
    <xf numFmtId="168" fontId="23" fillId="0" borderId="0" xfId="2" applyNumberFormat="1" applyFont="1" applyBorder="1"/>
    <xf numFmtId="0" fontId="29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31" fillId="0" borderId="0" xfId="0" applyFont="1"/>
    <xf numFmtId="0" fontId="31" fillId="0" borderId="0" xfId="0" applyFont="1" applyAlignment="1">
      <alignment horizontal="right"/>
    </xf>
    <xf numFmtId="0" fontId="34" fillId="0" borderId="0" xfId="0" applyFont="1" applyAlignment="1">
      <alignment horizontal="center"/>
    </xf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39" fillId="0" borderId="0" xfId="0" applyFont="1"/>
    <xf numFmtId="0" fontId="34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2" fillId="0" borderId="72" xfId="0" applyFont="1" applyBorder="1" applyAlignment="1">
      <alignment vertical="top" wrapText="1"/>
    </xf>
    <xf numFmtId="0" fontId="32" fillId="0" borderId="73" xfId="0" applyFont="1" applyBorder="1" applyAlignment="1">
      <alignment vertical="top" wrapText="1"/>
    </xf>
    <xf numFmtId="0" fontId="32" fillId="0" borderId="71" xfId="0" applyFont="1" applyBorder="1" applyAlignment="1">
      <alignment vertical="top" wrapText="1"/>
    </xf>
    <xf numFmtId="0" fontId="32" fillId="0" borderId="77" xfId="0" applyFont="1" applyBorder="1" applyAlignment="1">
      <alignment horizontal="center" vertical="center" wrapText="1"/>
    </xf>
    <xf numFmtId="0" fontId="32" fillId="0" borderId="80" xfId="0" applyFont="1" applyBorder="1" applyAlignment="1">
      <alignment horizontal="center" vertical="top" wrapText="1"/>
    </xf>
    <xf numFmtId="0" fontId="32" fillId="0" borderId="72" xfId="0" applyFont="1" applyBorder="1" applyAlignment="1">
      <alignment horizontal="center" vertical="top" wrapText="1"/>
    </xf>
    <xf numFmtId="0" fontId="32" fillId="0" borderId="77" xfId="0" quotePrefix="1" applyFont="1" applyBorder="1" applyAlignment="1">
      <alignment horizontal="center" vertical="top" wrapText="1"/>
    </xf>
    <xf numFmtId="14" fontId="32" fillId="0" borderId="81" xfId="0" applyNumberFormat="1" applyFont="1" applyBorder="1" applyAlignment="1">
      <alignment horizontal="center" vertical="center" wrapText="1"/>
    </xf>
    <xf numFmtId="14" fontId="32" fillId="0" borderId="83" xfId="0" applyNumberFormat="1" applyFont="1" applyBorder="1" applyAlignment="1">
      <alignment horizontal="center" vertical="center" wrapText="1"/>
    </xf>
    <xf numFmtId="14" fontId="32" fillId="0" borderId="84" xfId="0" applyNumberFormat="1" applyFont="1" applyBorder="1" applyAlignment="1">
      <alignment horizontal="center" vertical="center" wrapText="1"/>
    </xf>
    <xf numFmtId="14" fontId="32" fillId="0" borderId="88" xfId="0" applyNumberFormat="1" applyFont="1" applyBorder="1" applyAlignment="1">
      <alignment horizontal="center" vertical="center" wrapText="1"/>
    </xf>
    <xf numFmtId="2" fontId="40" fillId="0" borderId="0" xfId="0" quotePrefix="1" applyNumberFormat="1" applyFont="1" applyAlignment="1">
      <alignment horizontal="right" vertical="justify"/>
    </xf>
    <xf numFmtId="0" fontId="41" fillId="0" borderId="0" xfId="0" applyFont="1"/>
    <xf numFmtId="0" fontId="29" fillId="0" borderId="40" xfId="0" applyFont="1" applyBorder="1" applyAlignment="1">
      <alignment horizontal="center"/>
    </xf>
    <xf numFmtId="0" fontId="29" fillId="0" borderId="40" xfId="0" applyFont="1" applyBorder="1"/>
    <xf numFmtId="0" fontId="29" fillId="0" borderId="0" xfId="0" applyFont="1" applyAlignment="1">
      <alignment horizontal="center"/>
    </xf>
    <xf numFmtId="173" fontId="29" fillId="0" borderId="0" xfId="0" applyNumberFormat="1" applyFont="1" applyAlignment="1">
      <alignment horizontal="center"/>
    </xf>
    <xf numFmtId="0" fontId="42" fillId="0" borderId="91" xfId="0" applyFont="1" applyBorder="1"/>
    <xf numFmtId="0" fontId="29" fillId="0" borderId="92" xfId="0" applyFont="1" applyBorder="1"/>
    <xf numFmtId="0" fontId="29" fillId="0" borderId="93" xfId="0" applyFont="1" applyBorder="1"/>
    <xf numFmtId="0" fontId="42" fillId="0" borderId="94" xfId="0" applyFont="1" applyBorder="1"/>
    <xf numFmtId="0" fontId="42" fillId="0" borderId="0" xfId="0" applyFont="1"/>
    <xf numFmtId="0" fontId="42" fillId="0" borderId="95" xfId="0" applyFont="1" applyBorder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9" fillId="0" borderId="0" xfId="0" applyFont="1"/>
    <xf numFmtId="0" fontId="51" fillId="0" borderId="0" xfId="0" applyFont="1"/>
    <xf numFmtId="0" fontId="50" fillId="0" borderId="0" xfId="0" applyFont="1"/>
    <xf numFmtId="0" fontId="52" fillId="0" borderId="0" xfId="0" applyFont="1" applyAlignment="1">
      <alignment horizontal="right"/>
    </xf>
    <xf numFmtId="0" fontId="32" fillId="0" borderId="103" xfId="0" quotePrefix="1" applyFont="1" applyBorder="1" applyAlignment="1">
      <alignment horizontal="center" vertical="top" wrapText="1"/>
    </xf>
    <xf numFmtId="9" fontId="32" fillId="0" borderId="106" xfId="0" applyNumberFormat="1" applyFont="1" applyBorder="1" applyAlignment="1">
      <alignment horizontal="center" vertical="center" wrapText="1"/>
    </xf>
    <xf numFmtId="9" fontId="32" fillId="0" borderId="107" xfId="0" applyNumberFormat="1" applyFont="1" applyBorder="1" applyAlignment="1">
      <alignment horizontal="center" vertical="center" wrapText="1"/>
    </xf>
    <xf numFmtId="14" fontId="32" fillId="0" borderId="99" xfId="0" applyNumberFormat="1" applyFont="1" applyBorder="1" applyAlignment="1">
      <alignment horizontal="center" vertical="center" wrapText="1"/>
    </xf>
    <xf numFmtId="14" fontId="32" fillId="0" borderId="0" xfId="0" applyNumberFormat="1" applyFont="1" applyAlignment="1">
      <alignment horizontal="center" vertical="center" wrapText="1"/>
    </xf>
    <xf numFmtId="14" fontId="32" fillId="0" borderId="86" xfId="0" applyNumberFormat="1" applyFont="1" applyBorder="1" applyAlignment="1">
      <alignment horizontal="center" vertical="center" wrapText="1"/>
    </xf>
    <xf numFmtId="14" fontId="32" fillId="0" borderId="100" xfId="0" applyNumberFormat="1" applyFont="1" applyBorder="1" applyAlignment="1">
      <alignment horizontal="center" vertical="center" wrapText="1"/>
    </xf>
    <xf numFmtId="172" fontId="32" fillId="0" borderId="108" xfId="0" applyNumberFormat="1" applyFont="1" applyBorder="1" applyAlignment="1">
      <alignment horizontal="center" vertical="center" wrapText="1"/>
    </xf>
    <xf numFmtId="172" fontId="32" fillId="0" borderId="109" xfId="0" applyNumberFormat="1" applyFont="1" applyBorder="1" applyAlignment="1">
      <alignment horizontal="center" vertical="center" wrapText="1"/>
    </xf>
    <xf numFmtId="172" fontId="32" fillId="0" borderId="110" xfId="0" applyNumberFormat="1" applyFont="1" applyBorder="1" applyAlignment="1">
      <alignment horizontal="center" vertical="center" wrapText="1"/>
    </xf>
    <xf numFmtId="172" fontId="32" fillId="0" borderId="87" xfId="0" applyNumberFormat="1" applyFont="1" applyBorder="1" applyAlignment="1" applyProtection="1">
      <alignment horizontal="center" vertical="center" wrapText="1"/>
      <protection locked="0"/>
    </xf>
    <xf numFmtId="0" fontId="0" fillId="0" borderId="87" xfId="0" applyBorder="1" applyProtection="1">
      <protection locked="0"/>
    </xf>
    <xf numFmtId="172" fontId="32" fillId="0" borderId="104" xfId="0" applyNumberFormat="1" applyFont="1" applyBorder="1" applyAlignment="1" applyProtection="1">
      <alignment horizontal="center" vertical="center" wrapText="1"/>
      <protection locked="0"/>
    </xf>
    <xf numFmtId="0" fontId="59" fillId="14" borderId="0" xfId="0" applyFont="1" applyFill="1"/>
    <xf numFmtId="14" fontId="59" fillId="14" borderId="0" xfId="0" applyNumberFormat="1" applyFont="1" applyFill="1"/>
    <xf numFmtId="14" fontId="9" fillId="3" borderId="0" xfId="3" applyNumberFormat="1" applyFont="1" applyFill="1" applyAlignment="1">
      <alignment horizontal="center" wrapText="1"/>
    </xf>
    <xf numFmtId="0" fontId="11" fillId="4" borderId="27" xfId="3" applyFont="1" applyFill="1" applyBorder="1" applyAlignment="1">
      <alignment horizontal="right" vertical="top"/>
    </xf>
    <xf numFmtId="0" fontId="11" fillId="4" borderId="12" xfId="3" applyFont="1" applyFill="1" applyBorder="1" applyAlignment="1">
      <alignment horizontal="right" vertical="top"/>
    </xf>
    <xf numFmtId="0" fontId="11" fillId="4" borderId="26" xfId="3" applyFont="1" applyFill="1" applyBorder="1" applyAlignment="1">
      <alignment horizontal="right" vertical="top"/>
    </xf>
    <xf numFmtId="166" fontId="9" fillId="3" borderId="0" xfId="1" applyNumberFormat="1" applyFont="1" applyFill="1" applyAlignment="1">
      <alignment horizontal="center" vertical="center" wrapText="1"/>
    </xf>
    <xf numFmtId="165" fontId="9" fillId="3" borderId="0" xfId="1" applyNumberFormat="1" applyFont="1" applyFill="1" applyAlignment="1">
      <alignment horizontal="center" vertical="center" wrapText="1"/>
    </xf>
    <xf numFmtId="0" fontId="9" fillId="3" borderId="0" xfId="3" applyFont="1" applyFill="1" applyAlignment="1">
      <alignment horizontal="center" vertical="center" wrapText="1"/>
    </xf>
    <xf numFmtId="14" fontId="9" fillId="3" borderId="0" xfId="3" applyNumberFormat="1" applyFont="1" applyFill="1" applyAlignment="1">
      <alignment horizontal="center" vertical="center" wrapText="1"/>
    </xf>
    <xf numFmtId="0" fontId="7" fillId="0" borderId="38" xfId="3" applyFont="1" applyBorder="1" applyAlignment="1">
      <alignment horizontal="center" vertical="top" wrapText="1"/>
    </xf>
    <xf numFmtId="0" fontId="7" fillId="0" borderId="42" xfId="3" applyFont="1" applyBorder="1" applyAlignment="1">
      <alignment horizontal="center" vertical="top" wrapText="1"/>
    </xf>
    <xf numFmtId="0" fontId="7" fillId="0" borderId="37" xfId="3" applyFont="1" applyBorder="1" applyAlignment="1">
      <alignment horizontal="center" vertical="top" wrapText="1"/>
    </xf>
    <xf numFmtId="44" fontId="9" fillId="0" borderId="0" xfId="3" applyNumberFormat="1" applyFont="1" applyAlignment="1">
      <alignment horizontal="center" wrapText="1"/>
    </xf>
    <xf numFmtId="14" fontId="9" fillId="0" borderId="0" xfId="3" applyNumberFormat="1" applyFont="1" applyAlignment="1">
      <alignment horizontal="center" wrapText="1"/>
    </xf>
    <xf numFmtId="0" fontId="13" fillId="6" borderId="36" xfId="0" applyFont="1" applyFill="1" applyBorder="1" applyAlignment="1">
      <alignment horizontal="center"/>
    </xf>
    <xf numFmtId="0" fontId="13" fillId="6" borderId="35" xfId="0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33" xfId="0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3" fillId="8" borderId="36" xfId="0" applyFont="1" applyFill="1" applyBorder="1" applyAlignment="1">
      <alignment horizontal="center"/>
    </xf>
    <xf numFmtId="0" fontId="13" fillId="8" borderId="35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65" fontId="37" fillId="0" borderId="67" xfId="0" applyNumberFormat="1" applyFont="1" applyBorder="1" applyAlignment="1">
      <alignment horizontal="center"/>
    </xf>
    <xf numFmtId="165" fontId="37" fillId="0" borderId="68" xfId="0" applyNumberFormat="1" applyFont="1" applyBorder="1" applyAlignment="1">
      <alignment horizontal="center"/>
    </xf>
    <xf numFmtId="165" fontId="37" fillId="0" borderId="69" xfId="0" applyNumberFormat="1" applyFont="1" applyBorder="1" applyAlignment="1">
      <alignment horizontal="center"/>
    </xf>
    <xf numFmtId="0" fontId="37" fillId="0" borderId="67" xfId="0" applyFont="1" applyBorder="1" applyAlignment="1">
      <alignment horizontal="center"/>
    </xf>
    <xf numFmtId="0" fontId="37" fillId="0" borderId="68" xfId="0" applyFont="1" applyBorder="1" applyAlignment="1">
      <alignment horizontal="center"/>
    </xf>
    <xf numFmtId="0" fontId="37" fillId="0" borderId="69" xfId="0" applyFont="1" applyBorder="1" applyAlignment="1">
      <alignment horizontal="center"/>
    </xf>
    <xf numFmtId="49" fontId="37" fillId="0" borderId="67" xfId="0" applyNumberFormat="1" applyFont="1" applyBorder="1" applyAlignment="1" applyProtection="1">
      <alignment horizontal="center"/>
      <protection locked="0"/>
    </xf>
    <xf numFmtId="49" fontId="37" fillId="0" borderId="68" xfId="0" applyNumberFormat="1" applyFont="1" applyBorder="1" applyAlignment="1" applyProtection="1">
      <alignment horizontal="center"/>
      <protection locked="0"/>
    </xf>
    <xf numFmtId="49" fontId="37" fillId="0" borderId="69" xfId="0" applyNumberFormat="1" applyFont="1" applyBorder="1" applyAlignment="1" applyProtection="1">
      <alignment horizontal="center"/>
      <protection locked="0"/>
    </xf>
    <xf numFmtId="0" fontId="32" fillId="0" borderId="70" xfId="0" applyFont="1" applyBorder="1" applyAlignment="1">
      <alignment horizontal="center" vertical="top" wrapText="1"/>
    </xf>
    <xf numFmtId="0" fontId="32" fillId="0" borderId="71" xfId="0" applyFont="1" applyBorder="1" applyAlignment="1">
      <alignment horizontal="center" vertical="top" wrapText="1"/>
    </xf>
    <xf numFmtId="0" fontId="32" fillId="0" borderId="75" xfId="0" applyFont="1" applyBorder="1" applyAlignment="1">
      <alignment horizontal="center" vertical="center" wrapText="1"/>
    </xf>
    <xf numFmtId="0" fontId="32" fillId="0" borderId="76" xfId="0" applyFont="1" applyBorder="1" applyAlignment="1">
      <alignment horizontal="center" vertical="center" wrapText="1"/>
    </xf>
    <xf numFmtId="0" fontId="32" fillId="0" borderId="78" xfId="0" applyFont="1" applyBorder="1" applyAlignment="1">
      <alignment horizontal="center" vertical="center" wrapText="1"/>
    </xf>
    <xf numFmtId="0" fontId="32" fillId="0" borderId="74" xfId="0" applyFont="1" applyBorder="1" applyAlignment="1">
      <alignment horizontal="center" vertical="center" wrapText="1"/>
    </xf>
    <xf numFmtId="0" fontId="32" fillId="0" borderId="79" xfId="0" applyFont="1" applyBorder="1" applyAlignment="1">
      <alignment horizontal="center" vertical="center" wrapText="1"/>
    </xf>
    <xf numFmtId="0" fontId="32" fillId="0" borderId="102" xfId="0" applyFont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2" fillId="0" borderId="0" xfId="0" applyFont="1" applyAlignment="1">
      <alignment horizontal="left" wrapText="1"/>
    </xf>
    <xf numFmtId="0" fontId="33" fillId="13" borderId="0" xfId="0" applyFont="1" applyFill="1" applyAlignment="1">
      <alignment horizontal="center"/>
    </xf>
    <xf numFmtId="172" fontId="32" fillId="0" borderId="86" xfId="0" applyNumberFormat="1" applyFont="1" applyBorder="1" applyAlignment="1">
      <alignment horizontal="center" vertical="center" wrapText="1"/>
    </xf>
    <xf numFmtId="172" fontId="32" fillId="0" borderId="85" xfId="0" applyNumberFormat="1" applyFont="1" applyBorder="1" applyAlignment="1">
      <alignment horizontal="center" vertical="center" wrapText="1"/>
    </xf>
    <xf numFmtId="0" fontId="32" fillId="0" borderId="78" xfId="0" quotePrefix="1" applyFont="1" applyBorder="1" applyAlignment="1">
      <alignment horizontal="center" vertical="top" wrapText="1"/>
    </xf>
    <xf numFmtId="0" fontId="32" fillId="0" borderId="76" xfId="0" quotePrefix="1" applyFont="1" applyBorder="1" applyAlignment="1">
      <alignment horizontal="center" vertical="top" wrapText="1"/>
    </xf>
    <xf numFmtId="172" fontId="32" fillId="0" borderId="99" xfId="0" applyNumberFormat="1" applyFont="1" applyBorder="1" applyAlignment="1">
      <alignment horizontal="center" vertical="center" wrapText="1"/>
    </xf>
    <xf numFmtId="172" fontId="32" fillId="0" borderId="82" xfId="0" applyNumberFormat="1" applyFont="1" applyBorder="1" applyAlignment="1">
      <alignment horizontal="center" vertical="center" wrapText="1"/>
    </xf>
    <xf numFmtId="0" fontId="43" fillId="0" borderId="96" xfId="0" applyFont="1" applyBorder="1" applyAlignment="1">
      <alignment horizontal="center"/>
    </xf>
    <xf numFmtId="0" fontId="43" fillId="0" borderId="97" xfId="0" applyFont="1" applyBorder="1" applyAlignment="1">
      <alignment horizontal="center"/>
    </xf>
    <xf numFmtId="0" fontId="43" fillId="0" borderId="98" xfId="0" applyFont="1" applyBorder="1" applyAlignment="1">
      <alignment horizontal="center"/>
    </xf>
    <xf numFmtId="0" fontId="50" fillId="0" borderId="0" xfId="0" applyFont="1" applyAlignment="1">
      <alignment horizontal="center"/>
    </xf>
    <xf numFmtId="172" fontId="32" fillId="0" borderId="89" xfId="0" applyNumberFormat="1" applyFont="1" applyBorder="1" applyAlignment="1">
      <alignment horizontal="center" vertical="center" wrapText="1"/>
    </xf>
    <xf numFmtId="172" fontId="32" fillId="0" borderId="90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justify" vertical="top" wrapText="1"/>
    </xf>
    <xf numFmtId="0" fontId="29" fillId="0" borderId="67" xfId="0" applyFont="1" applyBorder="1" applyAlignment="1">
      <alignment horizontal="center"/>
    </xf>
    <xf numFmtId="0" fontId="29" fillId="0" borderId="69" xfId="0" applyFont="1" applyBorder="1" applyAlignment="1">
      <alignment horizontal="center"/>
    </xf>
    <xf numFmtId="0" fontId="32" fillId="0" borderId="41" xfId="0" applyFont="1" applyBorder="1" applyAlignment="1">
      <alignment horizontal="center" vertical="center"/>
    </xf>
    <xf numFmtId="0" fontId="32" fillId="0" borderId="101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2" fillId="0" borderId="64" xfId="0" applyFont="1" applyBorder="1" applyAlignment="1">
      <alignment horizontal="center" vertical="center"/>
    </xf>
    <xf numFmtId="0" fontId="32" fillId="0" borderId="65" xfId="0" applyFont="1" applyBorder="1" applyAlignment="1">
      <alignment horizontal="center" vertical="center"/>
    </xf>
    <xf numFmtId="0" fontId="32" fillId="0" borderId="66" xfId="0" applyFont="1" applyBorder="1" applyAlignment="1">
      <alignment horizontal="center" vertical="center"/>
    </xf>
    <xf numFmtId="14" fontId="29" fillId="0" borderId="67" xfId="0" applyNumberFormat="1" applyFont="1" applyBorder="1" applyAlignment="1">
      <alignment horizontal="center"/>
    </xf>
    <xf numFmtId="0" fontId="29" fillId="0" borderId="41" xfId="0" applyFont="1" applyBorder="1" applyAlignment="1" applyProtection="1">
      <alignment horizontal="center" vertical="center"/>
      <protection locked="0"/>
    </xf>
    <xf numFmtId="0" fontId="29" fillId="0" borderId="101" xfId="0" applyFont="1" applyBorder="1" applyAlignment="1" applyProtection="1">
      <alignment horizontal="center" vertical="center"/>
      <protection locked="0"/>
    </xf>
    <xf numFmtId="0" fontId="29" fillId="0" borderId="45" xfId="0" applyFont="1" applyBorder="1" applyAlignment="1" applyProtection="1">
      <alignment horizontal="center" vertical="center"/>
      <protection locked="0"/>
    </xf>
    <xf numFmtId="0" fontId="29" fillId="0" borderId="30" xfId="0" applyFont="1" applyBorder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40" xfId="0" applyFont="1" applyBorder="1" applyAlignment="1" applyProtection="1">
      <alignment horizontal="center" vertical="center"/>
      <protection locked="0"/>
    </xf>
    <xf numFmtId="0" fontId="29" fillId="0" borderId="64" xfId="0" applyFont="1" applyBorder="1" applyAlignment="1" applyProtection="1">
      <alignment horizontal="center" vertical="center"/>
      <protection locked="0"/>
    </xf>
    <xf numFmtId="0" fontId="29" fillId="0" borderId="65" xfId="0" applyFont="1" applyBorder="1" applyAlignment="1" applyProtection="1">
      <alignment horizontal="center" vertical="center"/>
      <protection locked="0"/>
    </xf>
    <xf numFmtId="0" fontId="29" fillId="0" borderId="66" xfId="0" applyFont="1" applyBorder="1" applyAlignment="1" applyProtection="1">
      <alignment horizontal="center" vertical="center"/>
      <protection locked="0"/>
    </xf>
    <xf numFmtId="0" fontId="29" fillId="0" borderId="67" xfId="0" applyFont="1" applyBorder="1" applyAlignment="1" applyProtection="1">
      <alignment horizontal="center"/>
      <protection locked="0"/>
    </xf>
    <xf numFmtId="0" fontId="29" fillId="0" borderId="69" xfId="0" applyFont="1" applyBorder="1" applyAlignment="1" applyProtection="1">
      <alignment horizontal="center"/>
      <protection locked="0"/>
    </xf>
    <xf numFmtId="173" fontId="29" fillId="0" borderId="67" xfId="0" applyNumberFormat="1" applyFont="1" applyBorder="1" applyAlignment="1" applyProtection="1">
      <alignment horizontal="center"/>
      <protection locked="0"/>
    </xf>
    <xf numFmtId="173" fontId="29" fillId="0" borderId="69" xfId="0" applyNumberFormat="1" applyFont="1" applyBorder="1" applyAlignment="1" applyProtection="1">
      <alignment horizontal="center"/>
      <protection locked="0"/>
    </xf>
    <xf numFmtId="0" fontId="17" fillId="0" borderId="67" xfId="4" applyBorder="1" applyAlignment="1" applyProtection="1">
      <alignment horizontal="center"/>
    </xf>
    <xf numFmtId="0" fontId="58" fillId="0" borderId="0" xfId="0" applyFont="1" applyAlignment="1">
      <alignment horizontal="center"/>
    </xf>
    <xf numFmtId="10" fontId="32" fillId="0" borderId="105" xfId="0" applyNumberFormat="1" applyFont="1" applyBorder="1" applyAlignment="1">
      <alignment horizontal="center" vertical="center" wrapText="1"/>
    </xf>
  </cellXfs>
  <cellStyles count="6">
    <cellStyle name="Lien hypertexte" xfId="4" builtinId="8"/>
    <cellStyle name="Milliers" xfId="1" builtinId="3"/>
    <cellStyle name="Monétaire" xfId="2" builtinId="4"/>
    <cellStyle name="Monétaire 2" xfId="5" xr:uid="{AB37AE33-52AB-4D67-AB69-4E1989E8FC0B}"/>
    <cellStyle name="Normal" xfId="0" builtinId="0"/>
    <cellStyle name="Normal 2" xfId="3" xr:uid="{A4E91FA6-62F4-4763-97DD-0515A30D48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3</xdr:row>
          <xdr:rowOff>175260</xdr:rowOff>
        </xdr:from>
        <xdr:to>
          <xdr:col>3</xdr:col>
          <xdr:colOff>685800</xdr:colOff>
          <xdr:row>5</xdr:row>
          <xdr:rowOff>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3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289560</xdr:colOff>
          <xdr:row>4</xdr:row>
          <xdr:rowOff>0</xdr:rowOff>
        </xdr:from>
        <xdr:to>
          <xdr:col>7</xdr:col>
          <xdr:colOff>678180</xdr:colOff>
          <xdr:row>5</xdr:row>
          <xdr:rowOff>22860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3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60960</xdr:colOff>
          <xdr:row>19</xdr:row>
          <xdr:rowOff>228600</xdr:rowOff>
        </xdr:from>
        <xdr:to>
          <xdr:col>3</xdr:col>
          <xdr:colOff>449580</xdr:colOff>
          <xdr:row>21</xdr:row>
          <xdr:rowOff>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3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144780</xdr:colOff>
          <xdr:row>19</xdr:row>
          <xdr:rowOff>213360</xdr:rowOff>
        </xdr:from>
        <xdr:to>
          <xdr:col>5</xdr:col>
          <xdr:colOff>175260</xdr:colOff>
          <xdr:row>21</xdr:row>
          <xdr:rowOff>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3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19</xdr:row>
          <xdr:rowOff>228600</xdr:rowOff>
        </xdr:from>
        <xdr:to>
          <xdr:col>7</xdr:col>
          <xdr:colOff>464820</xdr:colOff>
          <xdr:row>21</xdr:row>
          <xdr:rowOff>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3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266700</xdr:colOff>
      <xdr:row>0</xdr:row>
      <xdr:rowOff>144780</xdr:rowOff>
    </xdr:from>
    <xdr:to>
      <xdr:col>7</xdr:col>
      <xdr:colOff>1417320</xdr:colOff>
      <xdr:row>1</xdr:row>
      <xdr:rowOff>327660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D7EB4A79-A1FE-4D39-996B-65D83FF69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44780"/>
          <a:ext cx="22936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60960</xdr:colOff>
      <xdr:row>0</xdr:row>
      <xdr:rowOff>129540</xdr:rowOff>
    </xdr:from>
    <xdr:to>
      <xdr:col>3</xdr:col>
      <xdr:colOff>586740</xdr:colOff>
      <xdr:row>1</xdr:row>
      <xdr:rowOff>609600</xdr:rowOff>
    </xdr:to>
    <xdr:pic>
      <xdr:nvPicPr>
        <xdr:cNvPr id="7" name="Picture 11">
          <a:extLst>
            <a:ext uri="{FF2B5EF4-FFF2-40B4-BE49-F238E27FC236}">
              <a16:creationId xmlns:a16="http://schemas.microsoft.com/office/drawing/2014/main" id="{333B2B76-8F3F-4C2C-B25D-3C8427CFD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33350"/>
          <a:ext cx="27051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753033</xdr:colOff>
      <xdr:row>14</xdr:row>
      <xdr:rowOff>161366</xdr:rowOff>
    </xdr:from>
    <xdr:to>
      <xdr:col>7</xdr:col>
      <xdr:colOff>562870</xdr:colOff>
      <xdr:row>33</xdr:row>
      <xdr:rowOff>144494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9EB67DD5-362D-4022-A682-3C481965D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033" y="3478307"/>
          <a:ext cx="5334001" cy="33916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3</xdr:col>
      <xdr:colOff>95396</xdr:colOff>
      <xdr:row>58</xdr:row>
      <xdr:rowOff>152735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1F2862A0-4B89-48F9-B95B-9934ADF43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" y="5996940"/>
          <a:ext cx="1684166" cy="3856054"/>
        </a:xfrm>
        <a:prstGeom prst="rect">
          <a:avLst/>
        </a:prstGeom>
      </xdr:spPr>
    </xdr:pic>
    <xdr:clientData/>
  </xdr:twoCellAnchor>
  <xdr:twoCellAnchor editAs="oneCell">
    <xdr:from>
      <xdr:col>1</xdr:col>
      <xdr:colOff>26893</xdr:colOff>
      <xdr:row>62</xdr:row>
      <xdr:rowOff>8965</xdr:rowOff>
    </xdr:from>
    <xdr:to>
      <xdr:col>12</xdr:col>
      <xdr:colOff>246179</xdr:colOff>
      <xdr:row>89</xdr:row>
      <xdr:rowOff>94780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80B98CDC-4D7A-2038-6315-06AC35D44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5787" y="12039600"/>
          <a:ext cx="8893311" cy="4930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mail.csprh.vivinter@airfrance.fr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9110-44CB-4F3C-8779-5C54CA1E4C0F}">
  <sheetPr>
    <tabColor theme="5" tint="-0.249977111117893"/>
    <pageSetUpPr fitToPage="1"/>
  </sheetPr>
  <dimension ref="A1:Q35"/>
  <sheetViews>
    <sheetView showGridLines="0" zoomScaleNormal="90" workbookViewId="0">
      <selection activeCell="P14" sqref="P14"/>
    </sheetView>
  </sheetViews>
  <sheetFormatPr baseColWidth="10" defaultColWidth="8" defaultRowHeight="13.2" x14ac:dyDescent="0.3"/>
  <cols>
    <col min="1" max="1" width="18.5546875" style="1" customWidth="1"/>
    <col min="2" max="2" width="11.33203125" style="1" customWidth="1"/>
    <col min="3" max="3" width="12.33203125" style="1" bestFit="1" customWidth="1"/>
    <col min="4" max="5" width="12" style="1" customWidth="1"/>
    <col min="6" max="6" width="12.33203125" style="1" bestFit="1" customWidth="1"/>
    <col min="7" max="7" width="10.6640625" style="1" bestFit="1" customWidth="1"/>
    <col min="8" max="8" width="11.33203125" style="1" bestFit="1" customWidth="1"/>
    <col min="9" max="10" width="12" style="1" bestFit="1" customWidth="1"/>
    <col min="11" max="11" width="12.109375" style="1" bestFit="1" customWidth="1"/>
    <col min="12" max="12" width="11.5546875" style="1" bestFit="1" customWidth="1"/>
    <col min="13" max="13" width="11.44140625" style="1" bestFit="1" customWidth="1"/>
    <col min="14" max="14" width="11.5546875" style="1" bestFit="1" customWidth="1"/>
    <col min="15" max="15" width="12" style="1" customWidth="1"/>
    <col min="16" max="16" width="8" style="1"/>
    <col min="17" max="17" width="0" style="1" hidden="1" customWidth="1"/>
    <col min="18" max="16384" width="8" style="1"/>
  </cols>
  <sheetData>
    <row r="1" spans="1:17" ht="14.4" x14ac:dyDescent="0.3">
      <c r="A1" s="56" t="s">
        <v>0</v>
      </c>
      <c r="B1" s="74">
        <v>30</v>
      </c>
      <c r="C1" s="75">
        <v>46174</v>
      </c>
      <c r="Q1" s="1" t="s">
        <v>1</v>
      </c>
    </row>
    <row r="2" spans="1:17" ht="14.4" x14ac:dyDescent="0.3">
      <c r="A2" s="56" t="s">
        <v>2</v>
      </c>
      <c r="B2" s="283"/>
      <c r="C2" s="283"/>
      <c r="D2" s="61"/>
      <c r="E2" s="56" t="s">
        <v>3</v>
      </c>
      <c r="F2" s="71"/>
      <c r="G2" s="61"/>
      <c r="H2" s="287" t="s">
        <v>4</v>
      </c>
      <c r="I2" s="288"/>
      <c r="J2" s="288"/>
      <c r="K2" s="289"/>
      <c r="L2" s="152" t="s">
        <v>5</v>
      </c>
      <c r="M2" s="152" t="s">
        <v>6</v>
      </c>
      <c r="N2" s="61"/>
      <c r="O2" s="60"/>
      <c r="Q2" s="1" t="s">
        <v>7</v>
      </c>
    </row>
    <row r="3" spans="1:17" ht="15" thickBot="1" x14ac:dyDescent="0.35">
      <c r="A3" s="56" t="s">
        <v>8</v>
      </c>
      <c r="B3" s="284"/>
      <c r="C3" s="284"/>
      <c r="D3" s="68"/>
      <c r="E3" s="56" t="s">
        <v>9</v>
      </c>
      <c r="F3" s="70"/>
      <c r="G3" s="61"/>
      <c r="H3" s="148" t="s">
        <v>10</v>
      </c>
      <c r="I3" s="149"/>
      <c r="J3" s="150" t="s">
        <v>11</v>
      </c>
      <c r="K3" s="151"/>
      <c r="L3" s="62" t="str">
        <f>IF(I3&gt;0,K3-I3+1,"")</f>
        <v/>
      </c>
      <c r="M3" s="156"/>
      <c r="N3" s="61"/>
      <c r="O3" s="60"/>
      <c r="Q3" s="1" t="s">
        <v>12</v>
      </c>
    </row>
    <row r="4" spans="1:17" ht="14.4" x14ac:dyDescent="0.3">
      <c r="A4" s="56" t="s">
        <v>13</v>
      </c>
      <c r="B4" s="285"/>
      <c r="C4" s="285"/>
      <c r="D4" s="68"/>
      <c r="E4" s="56"/>
      <c r="F4" s="73">
        <f>SUM(F2:F3)</f>
        <v>0</v>
      </c>
      <c r="G4" s="61"/>
      <c r="H4" s="69" t="s">
        <v>10</v>
      </c>
      <c r="I4" s="63"/>
      <c r="J4" s="64" t="s">
        <v>14</v>
      </c>
      <c r="K4" s="72"/>
      <c r="L4" s="62" t="str">
        <f>IF(I4&gt;0,K4-I4+1,"")</f>
        <v/>
      </c>
      <c r="M4" s="156"/>
      <c r="N4" s="61"/>
      <c r="O4" s="60"/>
    </row>
    <row r="5" spans="1:17" ht="14.4" x14ac:dyDescent="0.3">
      <c r="A5" s="56" t="s">
        <v>15</v>
      </c>
      <c r="B5" s="285"/>
      <c r="C5" s="285"/>
      <c r="D5" s="68"/>
      <c r="E5" s="56" t="s">
        <v>16</v>
      </c>
      <c r="F5" s="71"/>
      <c r="G5" s="61"/>
      <c r="H5" s="69" t="s">
        <v>10</v>
      </c>
      <c r="I5" s="63"/>
      <c r="J5" s="64" t="s">
        <v>14</v>
      </c>
      <c r="K5" s="72"/>
      <c r="L5" s="62" t="str">
        <f>IF(I5&gt;0,K5-I5+1,"")</f>
        <v/>
      </c>
      <c r="M5" s="156"/>
      <c r="N5" s="61"/>
      <c r="O5" s="60"/>
    </row>
    <row r="6" spans="1:17" ht="14.4" x14ac:dyDescent="0.3">
      <c r="A6" s="56" t="s">
        <v>17</v>
      </c>
      <c r="B6" s="285"/>
      <c r="C6" s="285"/>
      <c r="D6" s="68"/>
      <c r="E6" s="56" t="s">
        <v>18</v>
      </c>
      <c r="F6" s="70"/>
      <c r="G6" s="61"/>
      <c r="H6" s="69" t="s">
        <v>10</v>
      </c>
      <c r="I6" s="63"/>
      <c r="J6" s="64" t="s">
        <v>14</v>
      </c>
      <c r="K6" s="72"/>
      <c r="L6" s="62" t="str">
        <f>IF(I6&gt;0,K6-I6+1,"")</f>
        <v/>
      </c>
      <c r="M6" s="156"/>
      <c r="N6" s="61"/>
      <c r="O6" s="60"/>
    </row>
    <row r="7" spans="1:17" ht="15" thickBot="1" x14ac:dyDescent="0.35">
      <c r="A7" s="56" t="s">
        <v>19</v>
      </c>
      <c r="B7" s="286"/>
      <c r="C7" s="286"/>
      <c r="D7" s="68"/>
      <c r="E7" s="67" t="s">
        <v>20</v>
      </c>
      <c r="F7" s="66">
        <f>SUM(F4:F6)</f>
        <v>0</v>
      </c>
      <c r="G7" s="61"/>
      <c r="H7" s="65" t="s">
        <v>10</v>
      </c>
      <c r="I7" s="63"/>
      <c r="J7" s="64" t="s">
        <v>14</v>
      </c>
      <c r="K7" s="72"/>
      <c r="L7" s="62" t="str">
        <f>IF(I7&gt;0,K7-I7+1,"")</f>
        <v/>
      </c>
      <c r="M7" s="156"/>
      <c r="N7" s="61"/>
      <c r="O7" s="60"/>
    </row>
    <row r="8" spans="1:17" ht="14.4" x14ac:dyDescent="0.3">
      <c r="A8" s="56" t="s">
        <v>21</v>
      </c>
      <c r="B8" s="279"/>
      <c r="C8" s="279"/>
      <c r="D8" s="5"/>
      <c r="E8" s="5"/>
      <c r="F8" s="5"/>
      <c r="G8" s="5"/>
      <c r="H8" s="65" t="s">
        <v>10</v>
      </c>
      <c r="I8" s="63"/>
      <c r="J8" s="64" t="s">
        <v>14</v>
      </c>
      <c r="K8" s="72"/>
      <c r="L8" s="62" t="str">
        <f t="shared" ref="L8:L9" si="0">IF(I8&gt;0,K8-I8+1,"")</f>
        <v/>
      </c>
      <c r="M8" s="156"/>
      <c r="N8" s="5"/>
      <c r="O8" s="3"/>
    </row>
    <row r="9" spans="1:17" ht="14.4" x14ac:dyDescent="0.3">
      <c r="A9" s="56"/>
      <c r="B9" s="153"/>
      <c r="C9" s="153"/>
      <c r="D9" s="5"/>
      <c r="E9" s="5"/>
      <c r="F9" s="5"/>
      <c r="G9" s="5"/>
      <c r="H9" s="65" t="s">
        <v>10</v>
      </c>
      <c r="I9" s="63"/>
      <c r="J9" s="64" t="s">
        <v>14</v>
      </c>
      <c r="K9" s="72"/>
      <c r="L9" s="62" t="str">
        <f t="shared" si="0"/>
        <v/>
      </c>
      <c r="M9" s="156"/>
      <c r="N9" s="5"/>
      <c r="O9" s="3"/>
    </row>
    <row r="10" spans="1:17" ht="14.4" x14ac:dyDescent="0.3">
      <c r="A10" s="157"/>
      <c r="B10" s="290"/>
      <c r="C10" s="291"/>
      <c r="D10" s="5"/>
      <c r="E10" s="5"/>
      <c r="F10" s="5"/>
      <c r="G10" s="5"/>
      <c r="H10" s="65" t="s">
        <v>10</v>
      </c>
      <c r="I10" s="63"/>
      <c r="J10" s="64" t="s">
        <v>14</v>
      </c>
      <c r="K10" s="72"/>
      <c r="L10" s="62" t="str">
        <f t="shared" ref="L10" si="1">IF(I10&gt;0,K10-I10+1,"")</f>
        <v/>
      </c>
      <c r="M10" s="156"/>
      <c r="N10" s="5"/>
      <c r="O10" s="3"/>
    </row>
    <row r="11" spans="1:17" ht="14.4" x14ac:dyDescent="0.3">
      <c r="A11" s="56"/>
      <c r="B11" s="153"/>
      <c r="C11" s="15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3"/>
    </row>
    <row r="12" spans="1:17" ht="15" thickBot="1" x14ac:dyDescent="0.3">
      <c r="A12" s="56"/>
      <c r="B12" s="59"/>
      <c r="C12" s="59"/>
      <c r="D12" s="5"/>
      <c r="E12" s="5"/>
      <c r="F12" s="5"/>
      <c r="G12" s="5"/>
      <c r="N12" s="5"/>
      <c r="O12" s="183"/>
    </row>
    <row r="13" spans="1:17" ht="15" thickBot="1" x14ac:dyDescent="0.3">
      <c r="A13" s="58" t="s">
        <v>22</v>
      </c>
      <c r="B13" s="56"/>
      <c r="G13" s="1" t="s">
        <v>23</v>
      </c>
      <c r="H13" s="280" t="s">
        <v>24</v>
      </c>
      <c r="I13" s="281"/>
      <c r="J13" s="281"/>
      <c r="K13" s="282"/>
      <c r="L13" s="57">
        <v>0.21</v>
      </c>
      <c r="N13" s="5"/>
      <c r="O13" s="183"/>
    </row>
    <row r="14" spans="1:17" ht="15" thickBot="1" x14ac:dyDescent="0.3">
      <c r="A14" s="50" t="s">
        <v>25</v>
      </c>
      <c r="B14" s="49" t="e">
        <f>+C17/B17</f>
        <v>#DIV/0!</v>
      </c>
      <c r="D14" s="5"/>
      <c r="E14" s="5"/>
      <c r="F14" s="5"/>
      <c r="G14" s="56"/>
      <c r="H14" s="55" t="str">
        <f>+IF(I3&gt;0,I3,"")</f>
        <v/>
      </c>
      <c r="I14" s="54" t="s">
        <v>11</v>
      </c>
      <c r="J14" s="53" t="str">
        <f>+IF(K3&gt;0,K3,"")</f>
        <v/>
      </c>
      <c r="K14" s="52">
        <f>IF(M3="ML35",$E$17*L3/$B$17,0)</f>
        <v>0</v>
      </c>
      <c r="L14" s="44">
        <f>K14*$F$16</f>
        <v>0</v>
      </c>
      <c r="O14" s="51"/>
    </row>
    <row r="15" spans="1:17" ht="15" thickBot="1" x14ac:dyDescent="0.3">
      <c r="A15" s="5"/>
      <c r="B15" s="5"/>
      <c r="C15" s="5"/>
      <c r="D15" s="5"/>
      <c r="E15" s="5"/>
      <c r="F15" s="5"/>
      <c r="G15" s="5"/>
      <c r="H15" s="47" t="str">
        <f>+IF(I4&gt;0,I4,"")</f>
        <v/>
      </c>
      <c r="I15" s="46" t="s">
        <v>14</v>
      </c>
      <c r="J15" s="18" t="str">
        <f>+IF(K4&gt;0,K4,"")</f>
        <v/>
      </c>
      <c r="K15" s="45">
        <f>IF(M4="ML35",$E$17*L4/$B$17,0)</f>
        <v>0</v>
      </c>
      <c r="L15" s="44">
        <f>K15*$F$16</f>
        <v>0</v>
      </c>
      <c r="N15" s="5"/>
    </row>
    <row r="16" spans="1:17" ht="14.4" x14ac:dyDescent="0.25">
      <c r="A16" s="48"/>
      <c r="B16" s="215" t="s">
        <v>26</v>
      </c>
      <c r="C16" s="215" t="s">
        <v>27</v>
      </c>
      <c r="D16" s="215" t="s">
        <v>28</v>
      </c>
      <c r="E16" s="215" t="s">
        <v>29</v>
      </c>
      <c r="F16" s="216">
        <v>0.21</v>
      </c>
      <c r="G16" s="5"/>
      <c r="H16" s="47" t="str">
        <f>+IF(I5&gt;0,I5,"")</f>
        <v/>
      </c>
      <c r="I16" s="46" t="s">
        <v>14</v>
      </c>
      <c r="J16" s="18" t="str">
        <f>+IF(K5&gt;0,K5,"")</f>
        <v/>
      </c>
      <c r="K16" s="45">
        <f>IF(M5="ML35",$E$17*L5/$B$17,0)</f>
        <v>0</v>
      </c>
      <c r="L16" s="44">
        <f>K16*$F$16</f>
        <v>0</v>
      </c>
      <c r="N16" s="5"/>
    </row>
    <row r="17" spans="1:15" ht="14.4" x14ac:dyDescent="0.25">
      <c r="A17" s="43" t="s">
        <v>7</v>
      </c>
      <c r="B17" s="42">
        <f>SUMIF(M3:M10,"ML35",L3:L10)</f>
        <v>0</v>
      </c>
      <c r="C17" s="41"/>
      <c r="D17" s="40"/>
      <c r="E17" s="39">
        <f>+C17+D17</f>
        <v>0</v>
      </c>
      <c r="F17" s="38">
        <f>+E17*F16</f>
        <v>0</v>
      </c>
      <c r="G17" s="5"/>
      <c r="H17" s="47" t="str">
        <f>+IF(I6&gt;0,I6,"")</f>
        <v/>
      </c>
      <c r="I17" s="46" t="s">
        <v>14</v>
      </c>
      <c r="J17" s="18" t="str">
        <f>+IF(K6&gt;0,K6,"")</f>
        <v/>
      </c>
      <c r="K17" s="45">
        <f>IF(M6="ML35",$E$17*L6/$B$17,0)</f>
        <v>0</v>
      </c>
      <c r="L17" s="44">
        <f>K17*$F$16</f>
        <v>0</v>
      </c>
      <c r="N17" s="5"/>
    </row>
    <row r="18" spans="1:15" ht="14.4" x14ac:dyDescent="0.25">
      <c r="G18" s="5"/>
      <c r="H18" s="47" t="str">
        <f>+IF(I7&gt;0,I7,"")</f>
        <v/>
      </c>
      <c r="I18" s="46" t="s">
        <v>14</v>
      </c>
      <c r="J18" s="18" t="str">
        <f>+IF(K7&gt;0,K7,"")</f>
        <v/>
      </c>
      <c r="K18" s="45">
        <f>IF(M7="ML35",$E$17*L7/$B$17,0)</f>
        <v>0</v>
      </c>
      <c r="L18" s="44">
        <f>K18*$F$16</f>
        <v>0</v>
      </c>
      <c r="N18" s="5"/>
    </row>
    <row r="19" spans="1:15" ht="20.25" customHeight="1" x14ac:dyDescent="0.25">
      <c r="G19" s="5"/>
      <c r="H19" s="47" t="str">
        <f t="shared" ref="H19:H21" si="2">+IF(I8&gt;0,I8,"")</f>
        <v/>
      </c>
      <c r="I19" s="46" t="s">
        <v>14</v>
      </c>
      <c r="J19" s="18" t="str">
        <f t="shared" ref="J19:J21" si="3">+IF(K8&gt;0,K8,"")</f>
        <v/>
      </c>
      <c r="K19" s="45">
        <f t="shared" ref="K19:K20" si="4">IF(M8="ML35",$E$17*L8/$B$17,0)</f>
        <v>0</v>
      </c>
      <c r="L19" s="44">
        <f t="shared" ref="L19:L21" si="5">K19*$F$16</f>
        <v>0</v>
      </c>
      <c r="N19" s="5"/>
    </row>
    <row r="20" spans="1:15" ht="14.4" x14ac:dyDescent="0.25">
      <c r="G20" s="5"/>
      <c r="H20" s="47" t="str">
        <f t="shared" si="2"/>
        <v/>
      </c>
      <c r="I20" s="46" t="s">
        <v>14</v>
      </c>
      <c r="J20" s="18" t="str">
        <f t="shared" si="3"/>
        <v/>
      </c>
      <c r="K20" s="45">
        <f t="shared" si="4"/>
        <v>0</v>
      </c>
      <c r="L20" s="44">
        <f t="shared" si="5"/>
        <v>0</v>
      </c>
      <c r="N20" s="5"/>
    </row>
    <row r="21" spans="1:15" ht="15" thickBot="1" x14ac:dyDescent="0.3">
      <c r="G21" s="5"/>
      <c r="H21" s="37" t="str">
        <f t="shared" si="2"/>
        <v/>
      </c>
      <c r="I21" s="36" t="s">
        <v>14</v>
      </c>
      <c r="J21" s="35" t="str">
        <f t="shared" si="3"/>
        <v/>
      </c>
      <c r="K21" s="34">
        <f t="shared" ref="K21" si="6">IF(M10="ML35",$E$17*L10/$B$17,0)</f>
        <v>0</v>
      </c>
      <c r="L21" s="33">
        <f t="shared" si="5"/>
        <v>0</v>
      </c>
      <c r="N21" s="5"/>
    </row>
    <row r="22" spans="1:15" ht="14.4" thickBo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3"/>
    </row>
    <row r="23" spans="1:15" ht="15.75" customHeight="1" x14ac:dyDescent="0.3">
      <c r="A23" s="32" t="s">
        <v>30</v>
      </c>
      <c r="B23" s="31"/>
      <c r="C23" s="31"/>
      <c r="D23" s="29"/>
      <c r="E23" s="29"/>
      <c r="F23" s="30"/>
      <c r="G23" s="29"/>
      <c r="H23" s="28" t="s">
        <v>31</v>
      </c>
      <c r="I23" s="28" t="s">
        <v>32</v>
      </c>
      <c r="J23" s="28" t="s">
        <v>33</v>
      </c>
      <c r="K23" s="27" t="s">
        <v>34</v>
      </c>
      <c r="L23" s="26">
        <v>0.21</v>
      </c>
    </row>
    <row r="24" spans="1:15" ht="14.4" x14ac:dyDescent="0.3">
      <c r="A24" s="25" t="s">
        <v>10</v>
      </c>
      <c r="B24" s="21" t="str">
        <f>+IF(I3&gt;0,I3,"")</f>
        <v/>
      </c>
      <c r="C24" s="20" t="s">
        <v>11</v>
      </c>
      <c r="D24" s="18" t="str">
        <f t="shared" ref="D24:F28" si="7">+IF(K3&gt;0,K3,"")</f>
        <v/>
      </c>
      <c r="E24" s="19" t="str">
        <f t="shared" si="7"/>
        <v/>
      </c>
      <c r="F24" s="18" t="str">
        <f t="shared" si="7"/>
        <v/>
      </c>
      <c r="G24" s="17"/>
      <c r="H24" s="16" t="e">
        <f>IF(L3=0,0,(($F$4/30)*(E24/$B$1*30)))</f>
        <v>#VALUE!</v>
      </c>
      <c r="I24" s="16">
        <f>IF(F24="ML35",(($F$5+$F$6)/(SUMIF($M$3:$M$10,"ML35",$L$3:$L$10))*E24),0)</f>
        <v>0</v>
      </c>
      <c r="J24" s="16">
        <f t="shared" ref="J24:J31" si="8">K14</f>
        <v>0</v>
      </c>
      <c r="K24" s="15" t="e">
        <f>H24+I24-J24</f>
        <v>#VALUE!</v>
      </c>
      <c r="L24" s="14" t="e">
        <f>K24*L23</f>
        <v>#VALUE!</v>
      </c>
      <c r="M24" s="24"/>
    </row>
    <row r="25" spans="1:15" ht="14.4" x14ac:dyDescent="0.3">
      <c r="A25" s="23" t="s">
        <v>10</v>
      </c>
      <c r="B25" s="21" t="str">
        <f>+IF(I4&gt;0,I4,"")</f>
        <v/>
      </c>
      <c r="C25" s="20" t="s">
        <v>11</v>
      </c>
      <c r="D25" s="18" t="str">
        <f t="shared" si="7"/>
        <v/>
      </c>
      <c r="E25" s="19" t="str">
        <f t="shared" si="7"/>
        <v/>
      </c>
      <c r="F25" s="18" t="str">
        <f t="shared" si="7"/>
        <v/>
      </c>
      <c r="G25" s="17"/>
      <c r="H25" s="16" t="e">
        <f>IF(L4=0,0,(($F$4/30)*(E25/$B$1*30)))</f>
        <v>#VALUE!</v>
      </c>
      <c r="I25" s="16">
        <f>IF(F25="ML35",(($F$5+$F$6)/(SUMIF($M$3:$M$10,"ML35",$L$3:$L$10))*E25),0)</f>
        <v>0</v>
      </c>
      <c r="J25" s="16">
        <f t="shared" si="8"/>
        <v>0</v>
      </c>
      <c r="K25" s="15" t="e">
        <f>H25+I25-J25</f>
        <v>#VALUE!</v>
      </c>
      <c r="L25" s="14" t="e">
        <f>K25*$L$23</f>
        <v>#VALUE!</v>
      </c>
    </row>
    <row r="26" spans="1:15" ht="14.4" x14ac:dyDescent="0.3">
      <c r="A26" s="22" t="s">
        <v>10</v>
      </c>
      <c r="B26" s="21" t="str">
        <f>+IF(I5&gt;0,I5,"")</f>
        <v/>
      </c>
      <c r="C26" s="20" t="s">
        <v>11</v>
      </c>
      <c r="D26" s="18" t="str">
        <f t="shared" si="7"/>
        <v/>
      </c>
      <c r="E26" s="19" t="str">
        <f t="shared" si="7"/>
        <v/>
      </c>
      <c r="F26" s="18" t="str">
        <f t="shared" si="7"/>
        <v/>
      </c>
      <c r="G26" s="17"/>
      <c r="H26" s="16" t="e">
        <f>IF(L5=0,0,(($F$4/30)*(E26/$B$1*30)))</f>
        <v>#VALUE!</v>
      </c>
      <c r="I26" s="16">
        <f>IF(F26="ML35",(($F$5+$F$6)/(SUMIF($M$3:$M$10,"ML35",$L$3:$L$10))*E26),0)</f>
        <v>0</v>
      </c>
      <c r="J26" s="16">
        <f t="shared" si="8"/>
        <v>0</v>
      </c>
      <c r="K26" s="15" t="e">
        <f>H26+I26-J26</f>
        <v>#VALUE!</v>
      </c>
      <c r="L26" s="14" t="e">
        <f>K26*$L$23</f>
        <v>#VALUE!</v>
      </c>
    </row>
    <row r="27" spans="1:15" ht="14.4" x14ac:dyDescent="0.3">
      <c r="A27" s="22" t="s">
        <v>10</v>
      </c>
      <c r="B27" s="21" t="str">
        <f>+IF(I6&gt;0,I6,"")</f>
        <v/>
      </c>
      <c r="C27" s="20" t="s">
        <v>11</v>
      </c>
      <c r="D27" s="18" t="str">
        <f t="shared" si="7"/>
        <v/>
      </c>
      <c r="E27" s="19" t="str">
        <f t="shared" si="7"/>
        <v/>
      </c>
      <c r="F27" s="18" t="str">
        <f t="shared" si="7"/>
        <v/>
      </c>
      <c r="G27" s="17"/>
      <c r="H27" s="16" t="e">
        <f>IF(L6=0,0,(($F$4/30)*(E27/$B$1*30)))</f>
        <v>#VALUE!</v>
      </c>
      <c r="I27" s="16">
        <f>IF(F27="ML35",(($F$5+$F$6)/(SUMIF($M$3:$M$10,"ML35",$L$3:$L$10))*E27),0)</f>
        <v>0</v>
      </c>
      <c r="J27" s="16">
        <f t="shared" si="8"/>
        <v>0</v>
      </c>
      <c r="K27" s="15" t="e">
        <f>H27+I27-J27</f>
        <v>#VALUE!</v>
      </c>
      <c r="L27" s="14" t="e">
        <f t="shared" ref="L27:L28" si="9">K27*$L$23</f>
        <v>#VALUE!</v>
      </c>
    </row>
    <row r="28" spans="1:15" ht="14.4" x14ac:dyDescent="0.3">
      <c r="A28" s="22" t="s">
        <v>10</v>
      </c>
      <c r="B28" s="21" t="str">
        <f>+IF(I7&gt;0,I7,"")</f>
        <v/>
      </c>
      <c r="C28" s="20" t="s">
        <v>11</v>
      </c>
      <c r="D28" s="18" t="str">
        <f t="shared" si="7"/>
        <v/>
      </c>
      <c r="E28" s="19" t="str">
        <f t="shared" si="7"/>
        <v/>
      </c>
      <c r="F28" s="18" t="str">
        <f t="shared" si="7"/>
        <v/>
      </c>
      <c r="G28" s="17"/>
      <c r="H28" s="16" t="e">
        <f>IF(L7=0,0,(($F$4/30)*(E28/$B$1*30)))</f>
        <v>#VALUE!</v>
      </c>
      <c r="I28" s="16">
        <f t="shared" ref="I28:I31" si="10">IF(F28="ML35",(($F$5+$F$6)/(SUMIF($M$3:$M$10,"ML35",$L$3:$L$10))*E28),0)</f>
        <v>0</v>
      </c>
      <c r="J28" s="16">
        <f t="shared" si="8"/>
        <v>0</v>
      </c>
      <c r="K28" s="15" t="e">
        <f>H28+I28-J28</f>
        <v>#VALUE!</v>
      </c>
      <c r="L28" s="14" t="e">
        <f t="shared" si="9"/>
        <v>#VALUE!</v>
      </c>
    </row>
    <row r="29" spans="1:15" ht="14.4" x14ac:dyDescent="0.3">
      <c r="A29" s="22" t="s">
        <v>10</v>
      </c>
      <c r="B29" s="21" t="str">
        <f t="shared" ref="B29:B31" si="11">+IF(I8&gt;0,I8,"")</f>
        <v/>
      </c>
      <c r="C29" s="20" t="s">
        <v>11</v>
      </c>
      <c r="D29" s="18" t="str">
        <f t="shared" ref="D29:F29" si="12">+IF(K8&gt;0,K8,"")</f>
        <v/>
      </c>
      <c r="E29" s="19" t="str">
        <f t="shared" si="12"/>
        <v/>
      </c>
      <c r="F29" s="18" t="str">
        <f t="shared" si="12"/>
        <v/>
      </c>
      <c r="G29" s="17"/>
      <c r="H29" s="16" t="e">
        <f t="shared" ref="H29:H31" si="13">IF(L8=0,0,(($F$4/30)*(E29/$B$1*30)))</f>
        <v>#VALUE!</v>
      </c>
      <c r="I29" s="16">
        <f t="shared" si="10"/>
        <v>0</v>
      </c>
      <c r="J29" s="16">
        <f t="shared" si="8"/>
        <v>0</v>
      </c>
      <c r="K29" s="15" t="e">
        <f t="shared" ref="K29:K30" si="14">H29+I29-J29</f>
        <v>#VALUE!</v>
      </c>
      <c r="L29" s="14" t="e">
        <f t="shared" ref="L29:L31" si="15">K29*$L$23</f>
        <v>#VALUE!</v>
      </c>
    </row>
    <row r="30" spans="1:15" ht="14.4" x14ac:dyDescent="0.3">
      <c r="A30" s="22" t="s">
        <v>10</v>
      </c>
      <c r="B30" s="21" t="str">
        <f t="shared" si="11"/>
        <v/>
      </c>
      <c r="C30" s="20" t="s">
        <v>11</v>
      </c>
      <c r="D30" s="18" t="str">
        <f t="shared" ref="D30:F30" si="16">+IF(K9&gt;0,K9,"")</f>
        <v/>
      </c>
      <c r="E30" s="19" t="str">
        <f t="shared" si="16"/>
        <v/>
      </c>
      <c r="F30" s="18" t="str">
        <f t="shared" si="16"/>
        <v/>
      </c>
      <c r="G30" s="17"/>
      <c r="H30" s="16" t="e">
        <f t="shared" si="13"/>
        <v>#VALUE!</v>
      </c>
      <c r="I30" s="16">
        <f t="shared" si="10"/>
        <v>0</v>
      </c>
      <c r="J30" s="16">
        <f t="shared" si="8"/>
        <v>0</v>
      </c>
      <c r="K30" s="15" t="e">
        <f t="shared" si="14"/>
        <v>#VALUE!</v>
      </c>
      <c r="L30" s="14" t="e">
        <f t="shared" si="15"/>
        <v>#VALUE!</v>
      </c>
    </row>
    <row r="31" spans="1:15" ht="14.4" x14ac:dyDescent="0.3">
      <c r="A31" s="22" t="s">
        <v>10</v>
      </c>
      <c r="B31" s="21" t="str">
        <f t="shared" si="11"/>
        <v/>
      </c>
      <c r="C31" s="20" t="s">
        <v>11</v>
      </c>
      <c r="D31" s="18" t="str">
        <f t="shared" ref="D31:F31" si="17">+IF(K10&gt;0,K10,"")</f>
        <v/>
      </c>
      <c r="E31" s="19" t="str">
        <f t="shared" si="17"/>
        <v/>
      </c>
      <c r="F31" s="18" t="str">
        <f t="shared" si="17"/>
        <v/>
      </c>
      <c r="G31" s="17"/>
      <c r="H31" s="16" t="e">
        <f t="shared" si="13"/>
        <v>#VALUE!</v>
      </c>
      <c r="I31" s="16">
        <f t="shared" si="10"/>
        <v>0</v>
      </c>
      <c r="J31" s="16">
        <f t="shared" si="8"/>
        <v>0</v>
      </c>
      <c r="K31" s="15" t="e">
        <f>H31+I31-J31</f>
        <v>#VALUE!</v>
      </c>
      <c r="L31" s="14" t="e">
        <f t="shared" si="15"/>
        <v>#VALUE!</v>
      </c>
    </row>
    <row r="32" spans="1:15" ht="15" thickBot="1" x14ac:dyDescent="0.3">
      <c r="A32" s="13"/>
      <c r="B32" s="12"/>
      <c r="C32" s="12"/>
      <c r="D32" s="11"/>
      <c r="E32" s="11"/>
      <c r="F32" s="10"/>
      <c r="G32" s="8"/>
      <c r="H32" s="8"/>
      <c r="I32" s="9"/>
      <c r="J32" s="8"/>
      <c r="K32" s="7"/>
      <c r="L32" s="6"/>
    </row>
    <row r="33" spans="1:15" ht="13.8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3"/>
    </row>
    <row r="34" spans="1:15" ht="13.8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3"/>
    </row>
    <row r="35" spans="1:15" ht="13.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10">
    <mergeCell ref="B8:C8"/>
    <mergeCell ref="H13:K13"/>
    <mergeCell ref="B2:C2"/>
    <mergeCell ref="B3:C3"/>
    <mergeCell ref="B4:C4"/>
    <mergeCell ref="B5:C5"/>
    <mergeCell ref="B6:C6"/>
    <mergeCell ref="B7:C7"/>
    <mergeCell ref="H2:K2"/>
    <mergeCell ref="B10:C10"/>
  </mergeCells>
  <dataValidations count="2">
    <dataValidation type="list" allowBlank="1" showInputMessage="1" showErrorMessage="1" errorTitle="Motif non connu" error="Merci de choisir un motif existant" promptTitle="MOTIFS" prompt="Sélectionner le motif" sqref="M3:M10" xr:uid="{019D64DB-7DDB-4A4E-A2DB-EE0955F7E1C4}">
      <formula1>$Q$2:$Q$6</formula1>
    </dataValidation>
    <dataValidation type="list" allowBlank="1" showInputMessage="1" showErrorMessage="1" errorTitle="Motif non connu" error="Merci de choisir un motif existant" promptTitle="MOTIFS" prompt="Sélectionner le motif" sqref="Q1" xr:uid="{7BCC6427-C339-4905-A877-462FCDBA6BE7}">
      <formula1>$Q$2:$Q$3</formula1>
    </dataValidation>
  </dataValidations>
  <pageMargins left="0.7" right="0.7" top="0.75" bottom="0.75" header="0.3" footer="0.3"/>
  <pageSetup paperSize="9" scale="7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4C81-F1C0-445B-A3C5-D854377CABA8}">
  <sheetPr>
    <tabColor theme="9" tint="-0.249977111117893"/>
    <pageSetUpPr fitToPage="1"/>
  </sheetPr>
  <dimension ref="A1:S84"/>
  <sheetViews>
    <sheetView showGridLines="0" zoomScale="75" zoomScaleNormal="90" workbookViewId="0">
      <selection activeCell="C22" sqref="C22"/>
    </sheetView>
  </sheetViews>
  <sheetFormatPr baseColWidth="10" defaultColWidth="11.44140625" defaultRowHeight="14.4" x14ac:dyDescent="0.3"/>
  <cols>
    <col min="1" max="1" width="19.33203125" bestFit="1" customWidth="1"/>
    <col min="2" max="2" width="22.33203125" bestFit="1" customWidth="1"/>
    <col min="3" max="3" width="14.6640625" bestFit="1" customWidth="1"/>
    <col min="4" max="4" width="18.109375" bestFit="1" customWidth="1"/>
    <col min="5" max="5" width="12.6640625" customWidth="1"/>
    <col min="6" max="6" width="15.109375" bestFit="1" customWidth="1"/>
    <col min="7" max="7" width="13.33203125" bestFit="1" customWidth="1"/>
    <col min="8" max="8" width="22.6640625" bestFit="1" customWidth="1"/>
    <col min="9" max="9" width="18" customWidth="1"/>
    <col min="10" max="10" width="16.33203125" bestFit="1" customWidth="1"/>
    <col min="13" max="13" width="15.33203125" customWidth="1"/>
    <col min="14" max="14" width="11.44140625" hidden="1" customWidth="1"/>
    <col min="15" max="15" width="15" hidden="1" customWidth="1"/>
    <col min="16" max="16" width="10.88671875" hidden="1" customWidth="1"/>
    <col min="17" max="18" width="11.44140625" hidden="1" customWidth="1"/>
    <col min="19" max="20" width="11.44140625" customWidth="1"/>
  </cols>
  <sheetData>
    <row r="1" spans="1:18" x14ac:dyDescent="0.3">
      <c r="A1" s="81" t="s">
        <v>35</v>
      </c>
      <c r="B1" s="116"/>
      <c r="E1" s="110" t="s">
        <v>36</v>
      </c>
      <c r="F1" s="115">
        <v>46174</v>
      </c>
      <c r="Q1" t="s">
        <v>37</v>
      </c>
      <c r="R1" t="s">
        <v>38</v>
      </c>
    </row>
    <row r="2" spans="1:18" x14ac:dyDescent="0.3">
      <c r="A2" s="81" t="s">
        <v>39</v>
      </c>
      <c r="B2" s="114"/>
      <c r="E2" s="110" t="s">
        <v>40</v>
      </c>
      <c r="F2" s="113">
        <v>30</v>
      </c>
      <c r="Q2" t="s">
        <v>41</v>
      </c>
      <c r="R2" t="s">
        <v>42</v>
      </c>
    </row>
    <row r="3" spans="1:18" ht="15" thickBot="1" x14ac:dyDescent="0.35">
      <c r="A3" s="81" t="s">
        <v>43</v>
      </c>
      <c r="B3" s="112"/>
      <c r="E3" s="110"/>
      <c r="F3" s="81"/>
      <c r="R3" t="s">
        <v>44</v>
      </c>
    </row>
    <row r="4" spans="1:18" ht="15" thickBot="1" x14ac:dyDescent="0.35">
      <c r="A4" s="81" t="s">
        <v>45</v>
      </c>
      <c r="B4" s="112"/>
      <c r="D4" s="296" t="s">
        <v>46</v>
      </c>
      <c r="E4" s="297"/>
      <c r="F4" s="140">
        <f>($B$15*B8)+$E$15+$E$16-O6-O7-O8-O9-O10-O11-O12-O13-O14-O15+I23</f>
        <v>0</v>
      </c>
      <c r="H4" s="139"/>
      <c r="I4" s="108" t="s">
        <v>47</v>
      </c>
      <c r="J4" s="138"/>
      <c r="K4" s="137"/>
      <c r="R4" t="s">
        <v>48</v>
      </c>
    </row>
    <row r="5" spans="1:18" x14ac:dyDescent="0.3">
      <c r="A5" s="81" t="s">
        <v>17</v>
      </c>
      <c r="B5" s="112"/>
      <c r="E5" s="110"/>
      <c r="F5" s="81"/>
      <c r="H5" s="106" t="s">
        <v>49</v>
      </c>
      <c r="I5" s="135" t="s">
        <v>50</v>
      </c>
      <c r="J5" s="136" t="s">
        <v>51</v>
      </c>
      <c r="K5" s="135" t="s">
        <v>52</v>
      </c>
      <c r="N5" s="107" t="s">
        <v>53</v>
      </c>
      <c r="O5" s="107"/>
      <c r="R5" t="s">
        <v>54</v>
      </c>
    </row>
    <row r="6" spans="1:18" x14ac:dyDescent="0.3">
      <c r="A6" s="81" t="s">
        <v>21</v>
      </c>
      <c r="B6" s="111"/>
      <c r="E6" s="110"/>
      <c r="F6" s="81"/>
      <c r="H6" s="158" t="s">
        <v>55</v>
      </c>
      <c r="I6" s="168" t="e">
        <f>IF($E$15&lt;0,"",$E$15*(E21/($E$21+$E$26+$E$31+$E$36+$E$41+$E$46+$E$51+$E$56+$E$61+$E$66)))</f>
        <v>#DIV/0!</v>
      </c>
      <c r="J6" s="168" t="e">
        <f>IF($E$16&lt;0,"",$E$16*(E21/($E$21+$E$26+$E$31+$E$36+$E$41+$E$46+$E$51+$E$56+$E$61+$E$66)))</f>
        <v>#DIV/0!</v>
      </c>
      <c r="K6" s="167" t="e">
        <f>IF($I$18&lt;0,"",$I$18*(E21/($E$21+$E$26+$E$31+$E$36+$E$41+$E$46+$E$51+$E$56+$E$61+$E$66)))</f>
        <v>#DIV/0!</v>
      </c>
      <c r="N6" s="107" t="s">
        <v>55</v>
      </c>
      <c r="O6" s="134">
        <f>IF(A22="Abs sans solde",($B$15*((C22-B22+1)*30)/$F$2)/30,0)</f>
        <v>0</v>
      </c>
    </row>
    <row r="7" spans="1:18" x14ac:dyDescent="0.3">
      <c r="H7" s="159" t="s">
        <v>56</v>
      </c>
      <c r="I7" s="169" t="e">
        <f>IF($E$15&lt;0,"",$E$15*(E26/($E$21+$E$26+$E$31+$E$36+$E$41+$E$46+$E$51+$E$56+$E$61+$E$66)))</f>
        <v>#DIV/0!</v>
      </c>
      <c r="J7" s="169" t="e">
        <f>IF($E$16&lt;0,"",$E$16*(E26/($E$21+$E$26+$E$31+$E$36+$E$41+$E$46+$E$51+$E$56+$E$61+$E$66)))</f>
        <v>#DIV/0!</v>
      </c>
      <c r="K7" s="162" t="e">
        <f>IF($I$18&lt;0,"",$I$18*(E26/($E$21+$E$26+$E$31+$E$36+$E$41+$E$46+$E$51+$E$56+$E$61+$E$66)))</f>
        <v>#DIV/0!</v>
      </c>
      <c r="N7" s="107" t="s">
        <v>56</v>
      </c>
      <c r="O7" s="134">
        <f>IF(A27="Abs sans solde",($B$15*((C27-B27+1)*30)/$F$2)/30,0)</f>
        <v>0</v>
      </c>
    </row>
    <row r="8" spans="1:18" x14ac:dyDescent="0.3">
      <c r="A8" s="213" t="s">
        <v>57</v>
      </c>
      <c r="B8" s="212">
        <v>1</v>
      </c>
      <c r="C8" s="78" t="s">
        <v>58</v>
      </c>
      <c r="D8" s="109">
        <v>0.4</v>
      </c>
      <c r="F8" s="81"/>
      <c r="H8" s="159" t="s">
        <v>59</v>
      </c>
      <c r="I8" s="169" t="e">
        <f>IF($E$15&lt;0,"",$E$15*(E31/($E$21+$E$26+$E$31+$E$36+$E$41+$E$46+$E$51+$E$56+$E$61+$E$66)))</f>
        <v>#DIV/0!</v>
      </c>
      <c r="J8" s="169" t="e">
        <f>IF($E$16&lt;0,"",$E$16*(E31/($E$21+$E$26+$E$31+$E$36+$E$41+$E$46+$E$51+$E$56+$E$61+$E$66)))</f>
        <v>#DIV/0!</v>
      </c>
      <c r="K8" s="162" t="e">
        <f>IF($I$18&lt;0,"",$I$18*(E31/($E$21+$E$26+$E$31+$E$36+$E$41+$E$46+$E$51+$E$56+$E$61+$E$66)))</f>
        <v>#DIV/0!</v>
      </c>
      <c r="N8" s="107" t="s">
        <v>59</v>
      </c>
      <c r="O8" s="134">
        <f>IF(A32="Abs sans solde",($B$15*((C32-B32+1)*30)/$F$2)/30,0)</f>
        <v>0</v>
      </c>
    </row>
    <row r="9" spans="1:18" x14ac:dyDescent="0.3">
      <c r="H9" s="159" t="s">
        <v>60</v>
      </c>
      <c r="I9" s="169" t="e">
        <f>IF($E$15&lt;0,"",$E$15*(E36/($E$21+$E$26+$E$31+$E$36+$E$41+$E$46+$E$51+$E$56+$E$61+$E$66)))</f>
        <v>#DIV/0!</v>
      </c>
      <c r="J9" s="169" t="e">
        <f>IF($E$16&lt;0,"",$E$16*(E36/($E$21+$E$26+$E$31+$E$36+$E$41+$E$46+$E$51+$E$56+$E$61+$E$66)))</f>
        <v>#DIV/0!</v>
      </c>
      <c r="K9" s="162" t="e">
        <f>IF($I$18&lt;0,"",$I$18*(E36/($E$21+$E$26+$E$31+$E$36+$E$41+$E$46+$E$51+$E$56+$E$61+$E$66)))</f>
        <v>#DIV/0!</v>
      </c>
      <c r="N9" s="107" t="s">
        <v>60</v>
      </c>
      <c r="O9" s="134">
        <f>IF(A37="Abs sans solde",($B$15*((C37-B37+1)*30)/$F$2)/30,0)</f>
        <v>0</v>
      </c>
    </row>
    <row r="10" spans="1:18" x14ac:dyDescent="0.3">
      <c r="A10" t="s">
        <v>61</v>
      </c>
      <c r="B10" s="105"/>
      <c r="D10" t="s">
        <v>62</v>
      </c>
      <c r="E10" s="105"/>
      <c r="H10" s="159" t="s">
        <v>63</v>
      </c>
      <c r="I10" s="169" t="e">
        <f>IF($E$15&lt;0,"",$E$15*(E41/($E$21+$E$26+$E$31+$E$36+$E$41+$E$46+$E$51+$E$56+$E$61+$E$66)))</f>
        <v>#DIV/0!</v>
      </c>
      <c r="J10" s="169" t="e">
        <f>IF($E$16&lt;0,"",$E$16*(E41/($E$21+$E$26+$E$31+$E$36+$E$41+$E$46+$E$51+$E$56+$E$61+$E$66)))</f>
        <v>#DIV/0!</v>
      </c>
      <c r="K10" s="162" t="e">
        <f>IF($I$18&lt;0,"",$I$18*(E41/($E$21+$E$26+$E$31+$E$36+$E$41+$E$46+$E$51+$E$56+$E$61+$E$66)))</f>
        <v>#DIV/0!</v>
      </c>
      <c r="N10" s="107" t="s">
        <v>63</v>
      </c>
      <c r="O10" s="134">
        <f>IF(A42="Abs sans solde",($B$15*((C42-B42+1)*30)/$F$2)/30,0)</f>
        <v>0</v>
      </c>
    </row>
    <row r="11" spans="1:18" x14ac:dyDescent="0.3">
      <c r="A11" t="s">
        <v>64</v>
      </c>
      <c r="B11" s="105"/>
      <c r="D11" s="175" t="s">
        <v>65</v>
      </c>
      <c r="E11" s="105"/>
      <c r="H11" s="159" t="s">
        <v>66</v>
      </c>
      <c r="I11" s="169" t="e">
        <f>IF($E$15&lt;0,"",$E$15*(E46/($E$21+$E$26+$E$31+$E$36+$E$41+$E$46+$E$51+$E$56+$E$61+$E$66)))</f>
        <v>#DIV/0!</v>
      </c>
      <c r="J11" s="169" t="e">
        <f>IF($E$16&lt;0,"",$E$16*(E46/($E$21+$E$26+$E$31+$E$36+$E$41+$E$46+$E$51+$E$56+$E$61+$E$66)))</f>
        <v>#DIV/0!</v>
      </c>
      <c r="K11" s="162" t="e">
        <f>IF($I$18&lt;0,"",$I$18*(E46/($E$21+$E$26+$E$31+$E$36+$E$41+$E$46+$E$51+$E$56+$E$61+$E$66)))</f>
        <v>#DIV/0!</v>
      </c>
      <c r="N11" s="107" t="s">
        <v>66</v>
      </c>
      <c r="O11" s="134">
        <f>IF(A47="Abs sans solde",($B$15*((C47-B47+1)*30)/$F$2)/30,0)</f>
        <v>0</v>
      </c>
    </row>
    <row r="12" spans="1:18" x14ac:dyDescent="0.3">
      <c r="B12" s="105"/>
      <c r="D12" s="175"/>
      <c r="E12" s="105"/>
      <c r="H12" s="159" t="s">
        <v>67</v>
      </c>
      <c r="I12" s="169" t="e">
        <f>IF($E$15&lt;0,"",$E$15*(E51/($E$21+$E$26+$E$31+$E$36+$E$41+$E$46+$E$51+$E$56+$E$61+$E$66)))</f>
        <v>#DIV/0!</v>
      </c>
      <c r="J12" s="169" t="e">
        <f>IF($E$16&lt;0,"",$E$16*(E51/($E$21+$E$26+$E$31+$E$36+$E$41+$E$46+$E$51+$E$56+$E$61+$E$66)))</f>
        <v>#DIV/0!</v>
      </c>
      <c r="K12" s="162" t="e">
        <f>IF($I$18&lt;0,"",$I$18*(E51/($E$21+$E$26+$E$31+$E$36+$E$41+$E$46+$E$51+$E$56+$E$61+$E$66)))</f>
        <v>#DIV/0!</v>
      </c>
      <c r="N12" s="107" t="s">
        <v>67</v>
      </c>
      <c r="O12" s="134">
        <f>IF(A52="Abs sans solde",($B$15*((C52-B52+1)*30)/$F$2)/30,0)</f>
        <v>0</v>
      </c>
    </row>
    <row r="13" spans="1:18" x14ac:dyDescent="0.3">
      <c r="B13" s="105"/>
      <c r="D13" s="175"/>
      <c r="E13" s="105"/>
      <c r="H13" s="159" t="s">
        <v>68</v>
      </c>
      <c r="I13" s="169" t="e">
        <f>IF($E$15&lt;0,"",$E$15*(E56/($E$21+$E$26+$E$31+$E$36+$E$41+$E$46+$E$51+$E$56+$E$61+$E$66)))</f>
        <v>#DIV/0!</v>
      </c>
      <c r="J13" s="169" t="e">
        <f>IF($E$16&lt;0,"",$E$16*(E56/($E$21+$E$26+$E$31+$E$36+$E$41+$E$46+$E$51+$E$56+$E$61+$E$66)))</f>
        <v>#DIV/0!</v>
      </c>
      <c r="K13" s="162" t="e">
        <f>IF($I$18&lt;0,"",$I$18*(E56/($E$21+$E$26+$E$31+$E$36+$E$41+$E$46+$E$51+$E$56+$E$61+$E$66)))</f>
        <v>#DIV/0!</v>
      </c>
      <c r="N13" s="107" t="s">
        <v>68</v>
      </c>
      <c r="O13" s="134">
        <f>IF(A57="Abs sans solde",($B$15*((C57-B57+1)*30)/$F$2)/30,0)</f>
        <v>0</v>
      </c>
    </row>
    <row r="14" spans="1:18" ht="15" thickBot="1" x14ac:dyDescent="0.35">
      <c r="B14" s="104"/>
      <c r="D14" s="175"/>
      <c r="E14" s="104"/>
      <c r="H14" s="159" t="s">
        <v>69</v>
      </c>
      <c r="I14" s="169" t="e">
        <f>IF($E$15&lt;0,"",$E$15*(E61/($E$21+$E$26+$E$31+$E$36+$E$41+$E$46+$E$51+$E$56+$E$61+$E$66)))</f>
        <v>#DIV/0!</v>
      </c>
      <c r="J14" s="169" t="e">
        <f>IF($E$16&lt;0,"",$E$16*(E61/($E$21+$E$26+$E$31+$E$36+$E$41+$E$46+$E$51+$E$56+$E$61+$E$66)))</f>
        <v>#DIV/0!</v>
      </c>
      <c r="K14" s="162" t="e">
        <f>IF($I$18&lt;0,"",$I$18*(E61/($E$21+$E$26+$E$31+$E$36+$E$41+$E$46+$E$51+$E$56+$E$61+$E$66)))</f>
        <v>#DIV/0!</v>
      </c>
      <c r="N14" s="107" t="s">
        <v>69</v>
      </c>
      <c r="O14" s="134">
        <f>IF(A62="Abs sans solde",($B$15*((C62-B62+1)*30)/$F$2)/30,0)</f>
        <v>0</v>
      </c>
    </row>
    <row r="15" spans="1:18" x14ac:dyDescent="0.3">
      <c r="B15" s="103">
        <f>SUM(B10:B14)</f>
        <v>0</v>
      </c>
      <c r="E15" s="103">
        <f>SUM(E10:E14)</f>
        <v>0</v>
      </c>
      <c r="H15" s="160" t="s">
        <v>70</v>
      </c>
      <c r="I15" s="170" t="e">
        <f>IF($E$15&lt;0,"",$E$15*(E66/($E$21+$E$26+$E$31+$E$36+$E$41+$E$46+$E$51+$E$56+$E$61+$E$66)))</f>
        <v>#DIV/0!</v>
      </c>
      <c r="J15" s="170" t="e">
        <f>IF($E$16&lt;0,"",$E$16*(E66/($E$21+$E$26+$E$31+$E$36+$E$41+$E$46+$E$51+$E$56+$E$61+$E$66)))</f>
        <v>#DIV/0!</v>
      </c>
      <c r="K15" s="171" t="e">
        <f>IF($I$18&lt;0,"",$I$18*(E66/($E$21+$E$26+$E$31+$E$36+$E$41+$E$46+$E$51+$E$56+$E$61+$E$66)))</f>
        <v>#DIV/0!</v>
      </c>
      <c r="N15" s="107" t="s">
        <v>70</v>
      </c>
      <c r="O15" s="134">
        <f>IF(A67="Abs sans solde",($B$15*((C67-B67+1)*30)/$F$2)/30,0)</f>
        <v>0</v>
      </c>
    </row>
    <row r="16" spans="1:18" x14ac:dyDescent="0.3">
      <c r="D16" t="s">
        <v>71</v>
      </c>
      <c r="E16" s="102"/>
      <c r="G16" s="101"/>
    </row>
    <row r="17" spans="1:19" x14ac:dyDescent="0.3">
      <c r="C17" s="99"/>
      <c r="H17" s="133" t="s">
        <v>72</v>
      </c>
      <c r="I17" s="132"/>
    </row>
    <row r="18" spans="1:19" x14ac:dyDescent="0.3">
      <c r="C18" s="99"/>
      <c r="H18" s="79" t="s">
        <v>73</v>
      </c>
      <c r="I18" s="131">
        <f>+I17*0.245</f>
        <v>0</v>
      </c>
    </row>
    <row r="19" spans="1:19" ht="15" thickBot="1" x14ac:dyDescent="0.35"/>
    <row r="20" spans="1:19" s="93" customFormat="1" ht="15" thickBot="1" x14ac:dyDescent="0.35">
      <c r="A20" s="95" t="s">
        <v>38</v>
      </c>
      <c r="B20" s="94" t="s">
        <v>74</v>
      </c>
      <c r="C20" s="94" t="s">
        <v>75</v>
      </c>
      <c r="D20" s="94" t="s">
        <v>76</v>
      </c>
      <c r="E20" s="94" t="s">
        <v>77</v>
      </c>
      <c r="F20" s="211" t="s">
        <v>78</v>
      </c>
    </row>
    <row r="21" spans="1:19" x14ac:dyDescent="0.3">
      <c r="A21" s="207"/>
      <c r="B21" s="208"/>
      <c r="C21" s="208"/>
      <c r="D21">
        <f>IF(B21="",0,(C21-B21+1))</f>
        <v>0</v>
      </c>
      <c r="E21" s="197">
        <f>IF(D21=0,0,IF(OR($F$2=30,$F$2=D21),D21*30/$F$2,(D21*30/$F$2)+0.0005))</f>
        <v>0</v>
      </c>
      <c r="F21" s="184"/>
    </row>
    <row r="22" spans="1:19" ht="15" thickBot="1" x14ac:dyDescent="0.35">
      <c r="A22" s="196"/>
      <c r="B22" s="128"/>
      <c r="C22" s="128"/>
      <c r="E22" s="197"/>
      <c r="F22" s="185"/>
    </row>
    <row r="23" spans="1:19" x14ac:dyDescent="0.3">
      <c r="A23" s="198" t="s">
        <v>79</v>
      </c>
      <c r="B23" s="85">
        <f>IF(A21="Abs (Mal, CA, autres)",0,($B$15*$B$8*E21)/30)</f>
        <v>0</v>
      </c>
      <c r="C23" s="85"/>
      <c r="D23" s="76" t="e">
        <f>IF(A21="Abs (Mal, CA, autres)",0,B23+$I$6+$J$6+F23)</f>
        <v>#DIV/0!</v>
      </c>
      <c r="F23" s="186" t="e">
        <f>IF($I$23&lt;0,"",$I$23*(E21/($E$21+$E$26+$E$31+$E$36+$E$41+$E$46+$E$51+$E$56+$E$61+$E$66)))</f>
        <v>#DIV/0!</v>
      </c>
      <c r="H23" s="146" t="s">
        <v>80</v>
      </c>
      <c r="I23" s="100"/>
    </row>
    <row r="24" spans="1:19" x14ac:dyDescent="0.3">
      <c r="A24" s="199" t="s">
        <v>81</v>
      </c>
      <c r="B24" s="85">
        <f>IF(A21="Abs (Mal, CA, autres)",0,(($B$15*E21)/30)*$D$8)</f>
        <v>0</v>
      </c>
      <c r="C24" s="85"/>
      <c r="D24" s="84" t="e">
        <f>IF(A21="Abs (Mal, CA, autres)",0,(B24+I6+J6+F24+K6))</f>
        <v>#DIV/0!</v>
      </c>
      <c r="F24" s="187" t="e">
        <f>IF($I$24&lt;0,"",$I$24*(E21/($E$21+$E$26+$E$31+$E$36+$E$41+$E$46+$E$51+$E$56+$E$61+$E$66)))</f>
        <v>#DIV/0!</v>
      </c>
      <c r="H24" s="147" t="s">
        <v>82</v>
      </c>
      <c r="I24" s="98"/>
    </row>
    <row r="25" spans="1:19" ht="15" thickBot="1" x14ac:dyDescent="0.35">
      <c r="A25" s="200" t="s">
        <v>22</v>
      </c>
      <c r="B25" s="143"/>
      <c r="C25" s="143"/>
      <c r="D25" s="144" t="e">
        <f>D23-D24</f>
        <v>#DIV/0!</v>
      </c>
      <c r="E25" s="83"/>
      <c r="F25" s="188"/>
      <c r="H25" s="97" t="s">
        <v>83</v>
      </c>
      <c r="I25" s="96">
        <f>I23-I24</f>
        <v>0</v>
      </c>
    </row>
    <row r="26" spans="1:19" x14ac:dyDescent="0.3">
      <c r="A26" s="201"/>
      <c r="B26" s="130"/>
      <c r="C26" s="130"/>
      <c r="D26" s="88">
        <f>IF(B26="",0,(C26-B26+1))</f>
        <v>0</v>
      </c>
      <c r="E26" s="197">
        <f>IF(D26=0,0,IF(OR($F$2=30,$F$2=D26),D26*30/$F$2,(D26*30/$F$2)+0.0005))</f>
        <v>0</v>
      </c>
      <c r="F26" s="184"/>
      <c r="H26" s="93"/>
      <c r="I26" s="93"/>
    </row>
    <row r="27" spans="1:19" x14ac:dyDescent="0.3">
      <c r="A27" s="196"/>
      <c r="B27" s="128"/>
      <c r="C27" s="128"/>
      <c r="E27" s="91"/>
      <c r="F27" s="189"/>
    </row>
    <row r="28" spans="1:19" x14ac:dyDescent="0.3">
      <c r="A28" s="198" t="s">
        <v>79</v>
      </c>
      <c r="B28" s="85">
        <f>IF(A26="Abs (Mal, CA, autres)",0,($B$15*$B$8*E26)/30)</f>
        <v>0</v>
      </c>
      <c r="C28" s="85"/>
      <c r="D28" s="76" t="e">
        <f>IF(A26="Abs (Mal, CA, autres)",0,B28+$I$7+$J$7+F28)</f>
        <v>#DIV/0!</v>
      </c>
      <c r="F28" s="186" t="e">
        <f>IF($I$23&lt;0,"",$I$23*(E26/($E$21+$E$26+$E$31+$E$36+$E$41+$E$46+$E$51+$E$56+$E$61+$E$66)))</f>
        <v>#DIV/0!</v>
      </c>
      <c r="I28" s="76"/>
      <c r="K28" s="76"/>
    </row>
    <row r="29" spans="1:19" x14ac:dyDescent="0.3">
      <c r="A29" s="199" t="s">
        <v>81</v>
      </c>
      <c r="B29" s="85">
        <f>IF(A26="Abs (Mal, CA, autres)",0,(($B$15*E26)/30)*$D$8)</f>
        <v>0</v>
      </c>
      <c r="C29" s="85"/>
      <c r="D29" s="84" t="e">
        <f>IF(A26="Abs (Mal, CA, autres)",0,(B29+$I$7+J7+F29+K7))</f>
        <v>#DIV/0!</v>
      </c>
      <c r="F29" s="187" t="e">
        <f>IF($I$24&lt;0,"",$I$24*(E26/($E$21+$E$26+$E$31+$E$36+$E$41+$E$46+$E$51+$E$56+$E$61+$E$66)))</f>
        <v>#DIV/0!</v>
      </c>
    </row>
    <row r="30" spans="1:19" ht="15" thickBot="1" x14ac:dyDescent="0.35">
      <c r="A30" s="202" t="s">
        <v>22</v>
      </c>
      <c r="B30" s="143"/>
      <c r="C30" s="143"/>
      <c r="D30" s="144" t="e">
        <f>D28-D29</f>
        <v>#DIV/0!</v>
      </c>
      <c r="E30" s="83"/>
      <c r="F30" s="188"/>
    </row>
    <row r="31" spans="1:19" x14ac:dyDescent="0.3">
      <c r="A31" s="201"/>
      <c r="B31" s="130"/>
      <c r="C31" s="130"/>
      <c r="D31" s="88">
        <f>IF(B31="",0,(C31-B31+1))</f>
        <v>0</v>
      </c>
      <c r="E31" s="197">
        <f>IF(D31=0,0,IF(OR($F$2=30,$F$2=D31),D31*30/$F$2,(D31*30/$F$2)+0.0005))</f>
        <v>0</v>
      </c>
      <c r="F31" s="184"/>
      <c r="J31" s="172"/>
      <c r="M31" s="92"/>
      <c r="N31" s="92"/>
      <c r="O31" s="92"/>
      <c r="P31" s="92"/>
      <c r="Q31" s="92"/>
      <c r="R31" s="92"/>
      <c r="S31" s="92"/>
    </row>
    <row r="32" spans="1:19" x14ac:dyDescent="0.3">
      <c r="A32" s="196"/>
      <c r="B32" s="128"/>
      <c r="C32" s="128"/>
      <c r="E32" s="91"/>
      <c r="F32" s="189"/>
    </row>
    <row r="33" spans="1:14" x14ac:dyDescent="0.3">
      <c r="A33" s="198" t="s">
        <v>79</v>
      </c>
      <c r="B33" s="85">
        <f>IF(A31="Abs (Mal, CA, autres)",0,($B$15*$B$8*E31)/30)</f>
        <v>0</v>
      </c>
      <c r="C33" s="85"/>
      <c r="D33" s="76" t="e">
        <f>IF(A31="Abs (Mal, CA, autres)",0,B33+$I$8+$J$8+F33)</f>
        <v>#DIV/0!</v>
      </c>
      <c r="E33" s="91"/>
      <c r="F33" s="186" t="e">
        <f>IF($I$23&lt;0,"",$I$23*(E31/($E$21+$E$26+$E$31+$E$36+$E$41+$E$46+$E$51+$E$56+$E$61+$E$66)))</f>
        <v>#DIV/0!</v>
      </c>
      <c r="H33" s="92"/>
    </row>
    <row r="34" spans="1:14" x14ac:dyDescent="0.3">
      <c r="A34" s="199" t="s">
        <v>81</v>
      </c>
      <c r="B34" s="85">
        <f>IF(A31="Abs (Mal, CA, autres)",0,(($B$15*E31)/30)*$D$8)</f>
        <v>0</v>
      </c>
      <c r="C34" s="85"/>
      <c r="D34" s="84" t="e">
        <f>IF(A31="Abs (Mal, CA, autres)",0,(B34+$I$8+J8+F34+K8))</f>
        <v>#DIV/0!</v>
      </c>
      <c r="E34" s="91"/>
      <c r="F34" s="187" t="e">
        <f>IF($I$24&lt;0,"",$I$24*(E31/($E$21+$E$26+$E$31+$E$36+$E$41+$E$46+$E$51+$E$56+$E$61+$E$66)))</f>
        <v>#DIV/0!</v>
      </c>
      <c r="H34" s="92"/>
      <c r="I34" s="92"/>
      <c r="J34" s="92"/>
      <c r="K34" s="92"/>
      <c r="L34" s="92"/>
      <c r="M34" s="92"/>
      <c r="N34" s="92"/>
    </row>
    <row r="35" spans="1:14" ht="15" thickBot="1" x14ac:dyDescent="0.35">
      <c r="A35" s="200" t="s">
        <v>22</v>
      </c>
      <c r="B35" s="144"/>
      <c r="C35" s="144"/>
      <c r="D35" s="144" t="e">
        <f>D33-D34</f>
        <v>#DIV/0!</v>
      </c>
      <c r="E35" s="83"/>
      <c r="F35" s="188"/>
      <c r="H35" s="92"/>
      <c r="I35" s="173"/>
      <c r="J35" s="92"/>
      <c r="K35" s="92"/>
      <c r="L35" s="92"/>
      <c r="M35" s="92"/>
      <c r="N35" s="92"/>
    </row>
    <row r="36" spans="1:14" x14ac:dyDescent="0.3">
      <c r="A36" s="201"/>
      <c r="B36" s="130"/>
      <c r="C36" s="130"/>
      <c r="D36" s="88">
        <f>IF(B36="",0,(C36-B36+1))</f>
        <v>0</v>
      </c>
      <c r="E36" s="197">
        <f>IF(D36=0,0,IF(OR($F$2=30,$F$2=D36),D36*30/$F$2,(D36*30/$F$2)+0.0005))</f>
        <v>0</v>
      </c>
      <c r="F36" s="184"/>
      <c r="H36" s="174"/>
      <c r="I36" s="174"/>
      <c r="J36" s="174"/>
      <c r="K36" s="92"/>
      <c r="L36" s="92"/>
      <c r="M36" s="92"/>
      <c r="N36" s="92"/>
    </row>
    <row r="37" spans="1:14" x14ac:dyDescent="0.3">
      <c r="A37" s="196"/>
      <c r="B37" s="128"/>
      <c r="C37" s="128"/>
      <c r="F37" s="189"/>
      <c r="H37" s="174"/>
      <c r="I37" s="174"/>
      <c r="J37" s="174"/>
      <c r="K37" s="174"/>
      <c r="L37" s="174"/>
      <c r="M37" s="174"/>
      <c r="N37" s="92"/>
    </row>
    <row r="38" spans="1:14" x14ac:dyDescent="0.3">
      <c r="A38" s="198" t="s">
        <v>79</v>
      </c>
      <c r="B38" s="85">
        <f>IF(A36="Abs (Mal, CA, autres)",0,($B$15*$B$8*E36)/30)</f>
        <v>0</v>
      </c>
      <c r="C38" s="85"/>
      <c r="D38" s="76" t="e">
        <f>IF(A36="Abs (Mal, CA, autres)",0,B38+$I$9+$J$9+F38)</f>
        <v>#DIV/0!</v>
      </c>
      <c r="F38" s="186" t="e">
        <f>IF($I$23&lt;0,"",$I$23*(E36/($E$21+$E$26+$E$31+$E$36+$E$41+$E$46+$E$51+$E$56+$E$61+$E$66)))</f>
        <v>#DIV/0!</v>
      </c>
      <c r="H38" s="174"/>
      <c r="I38" s="174"/>
      <c r="J38" s="174"/>
      <c r="K38" s="174"/>
      <c r="L38" s="174"/>
      <c r="M38" s="174"/>
      <c r="N38" s="92"/>
    </row>
    <row r="39" spans="1:14" x14ac:dyDescent="0.3">
      <c r="A39" s="199" t="s">
        <v>81</v>
      </c>
      <c r="B39" s="85">
        <f>IF(A36="Abs (Mal, CA, autres)",0,(($B$15*E36)/30)*$D$8)</f>
        <v>0</v>
      </c>
      <c r="C39" s="85"/>
      <c r="D39" s="84" t="e">
        <f>IF(A36="Abs (Mal, CA, autres)",0,(B39+$I$9+J9+F39+K9))</f>
        <v>#DIV/0!</v>
      </c>
      <c r="F39" s="187" t="e">
        <f>IF($I$24&lt;0,"",$I$24*(E36/($E$21+$E$26+$E$31+$E$36+$E$41+$E$46+$E$51+$E$56+$E$61+$E$66)))</f>
        <v>#DIV/0!</v>
      </c>
      <c r="H39" s="174"/>
      <c r="I39" s="174"/>
      <c r="J39" s="174"/>
      <c r="K39" s="174"/>
      <c r="L39" s="174"/>
      <c r="M39" s="174"/>
      <c r="N39" s="92"/>
    </row>
    <row r="40" spans="1:14" ht="15" thickBot="1" x14ac:dyDescent="0.35">
      <c r="A40" s="200" t="s">
        <v>22</v>
      </c>
      <c r="B40" s="144"/>
      <c r="C40" s="144"/>
      <c r="D40" s="144" t="e">
        <f>D38-D39</f>
        <v>#DIV/0!</v>
      </c>
      <c r="E40" s="83"/>
      <c r="F40" s="188"/>
      <c r="H40" s="174"/>
      <c r="I40" s="174"/>
      <c r="J40" s="174"/>
      <c r="K40" s="174"/>
      <c r="L40" s="174"/>
      <c r="M40" s="174"/>
      <c r="N40" s="92"/>
    </row>
    <row r="41" spans="1:14" x14ac:dyDescent="0.3">
      <c r="A41" s="201"/>
      <c r="B41" s="130"/>
      <c r="C41" s="130"/>
      <c r="D41" s="88">
        <f>IF(B41="",0,(C41-B41+1))</f>
        <v>0</v>
      </c>
      <c r="E41" s="197">
        <f>IF(D41=0,0,IF(OR($F$2=30,$F$2=D41),D41*30/$F$2,(D41*30/$F$2)+0.0005))</f>
        <v>0</v>
      </c>
      <c r="F41" s="184"/>
      <c r="H41" s="92"/>
      <c r="I41" s="92"/>
      <c r="J41" s="92"/>
      <c r="K41" s="92"/>
      <c r="L41" s="92"/>
      <c r="M41" s="92"/>
      <c r="N41" s="92"/>
    </row>
    <row r="42" spans="1:14" x14ac:dyDescent="0.3">
      <c r="A42" s="196"/>
      <c r="B42" s="128"/>
      <c r="C42" s="128"/>
      <c r="F42" s="189"/>
    </row>
    <row r="43" spans="1:14" x14ac:dyDescent="0.3">
      <c r="A43" s="198" t="s">
        <v>79</v>
      </c>
      <c r="B43" s="85">
        <f>IF(A41="Abs (Mal, CA, autres)",0,($B$15*$B$8*E41)/30)</f>
        <v>0</v>
      </c>
      <c r="C43" s="85"/>
      <c r="D43" s="76" t="e">
        <f>IF(A41="Abs (Mal, CA, autres)",0,B43+$I$10+$J$10+F43)</f>
        <v>#DIV/0!</v>
      </c>
      <c r="F43" s="186" t="e">
        <f>IF($I$23&lt;0,"",$I$23*(E41/($E$21+$E$26+$E$31+$E$36+$E$41+$E$46+$E$51+$E$56+$E$61+$E$66)))</f>
        <v>#DIV/0!</v>
      </c>
    </row>
    <row r="44" spans="1:14" x14ac:dyDescent="0.3">
      <c r="A44" s="199" t="s">
        <v>81</v>
      </c>
      <c r="B44" s="85">
        <f>IF(A41="Abs (Mal, CA, autres)",0,(($B$15*E41)/30)*$D$8)</f>
        <v>0</v>
      </c>
      <c r="C44" s="85"/>
      <c r="D44" s="84" t="e">
        <f>IF(A41="Abs (Mal, CA, autres)",0,(B44+$I$10+J10+F44+K10))</f>
        <v>#DIV/0!</v>
      </c>
      <c r="F44" s="187" t="e">
        <f>IF($I$24&lt;0,"",$I$24*(E41/($E$21+$E$26+$E$31+$E$36+$E$41+$E$46+$E$51+$E$56+$E$61+$E$66)))</f>
        <v>#DIV/0!</v>
      </c>
    </row>
    <row r="45" spans="1:14" ht="15" thickBot="1" x14ac:dyDescent="0.35">
      <c r="A45" s="200" t="s">
        <v>22</v>
      </c>
      <c r="B45" s="144"/>
      <c r="C45" s="144"/>
      <c r="D45" s="144" t="e">
        <f>D43-D44</f>
        <v>#DIV/0!</v>
      </c>
      <c r="E45" s="83"/>
      <c r="F45" s="188"/>
    </row>
    <row r="46" spans="1:14" x14ac:dyDescent="0.3">
      <c r="A46" s="201"/>
      <c r="B46" s="130"/>
      <c r="C46" s="130"/>
      <c r="D46" s="88">
        <f>IF(B46="",0,(C46-B46+1))</f>
        <v>0</v>
      </c>
      <c r="E46" s="197">
        <f>IF(D46=0,0,IF(OR($F$2=30,$F$2=D46),D46*30/$F$2,(D46*30/$F$2)+0.0005))</f>
        <v>0</v>
      </c>
      <c r="F46" s="184"/>
    </row>
    <row r="47" spans="1:14" x14ac:dyDescent="0.3">
      <c r="A47" s="196"/>
      <c r="B47" s="128"/>
      <c r="C47" s="128"/>
      <c r="F47" s="189"/>
    </row>
    <row r="48" spans="1:14" x14ac:dyDescent="0.3">
      <c r="A48" s="198" t="s">
        <v>79</v>
      </c>
      <c r="B48" s="85">
        <f>IF(A46="Abs (Mal, CA, autres)",0,($B$15*$B$8*E46)/30)</f>
        <v>0</v>
      </c>
      <c r="C48" s="85"/>
      <c r="D48" s="76" t="e">
        <f>IF(A46="Abs (Mal, CA, autres)",0,B48+$I$11+$J$11+F48)</f>
        <v>#DIV/0!</v>
      </c>
      <c r="F48" s="186" t="e">
        <f>IF($I$23&lt;0,"",$I$23*(E46/($E$21+$E$26+$E$31+$E$36+$E$41+$E$46+$E$51+$E$56+$E$61+$E$66)))</f>
        <v>#DIV/0!</v>
      </c>
    </row>
    <row r="49" spans="1:8" x14ac:dyDescent="0.3">
      <c r="A49" s="199" t="s">
        <v>81</v>
      </c>
      <c r="B49" s="85">
        <f>IF(A46="Abs (Mal, CA, autres)",0,(($B$15*E46)/30)*$D$8)</f>
        <v>0</v>
      </c>
      <c r="C49" s="85"/>
      <c r="D49" s="84" t="e">
        <f>IF(A46="Abs (Mal, CA, autres)",0,(B49+$I$11+J11+F49+K11))</f>
        <v>#DIV/0!</v>
      </c>
      <c r="F49" s="187" t="e">
        <f>IF($I$24&lt;0,"",$I$24*(E46/($E$21+$E$26+$E$31+$E$36+$E$41+$E$46+$E$51+$E$56+$E$61+$E$66)))</f>
        <v>#DIV/0!</v>
      </c>
      <c r="G49" s="81"/>
      <c r="H49" s="81"/>
    </row>
    <row r="50" spans="1:8" ht="15" thickBot="1" x14ac:dyDescent="0.35">
      <c r="A50" s="203" t="s">
        <v>22</v>
      </c>
      <c r="B50" s="176"/>
      <c r="C50" s="176"/>
      <c r="D50" s="144" t="e">
        <f>D48-D49</f>
        <v>#DIV/0!</v>
      </c>
      <c r="E50" s="83"/>
      <c r="F50" s="188"/>
    </row>
    <row r="51" spans="1:8" x14ac:dyDescent="0.3">
      <c r="A51" s="201"/>
      <c r="B51" s="130"/>
      <c r="C51" s="130"/>
      <c r="D51" s="88">
        <f>IF(B51="",0,(C51-B51+1))</f>
        <v>0</v>
      </c>
      <c r="E51" s="209">
        <f>IF(D51=0,0,IF(OR($F$2=30,$F$2=D51),D51*30/$F$2,(D51*30/$F$2)+0.0005))</f>
        <v>0</v>
      </c>
      <c r="F51" s="184"/>
      <c r="H51" s="76"/>
    </row>
    <row r="52" spans="1:8" x14ac:dyDescent="0.3">
      <c r="A52" s="196"/>
      <c r="B52" s="128"/>
      <c r="C52" s="128"/>
      <c r="F52" s="189"/>
    </row>
    <row r="53" spans="1:8" x14ac:dyDescent="0.3">
      <c r="A53" s="198" t="s">
        <v>79</v>
      </c>
      <c r="B53" s="85">
        <f>IF(A51="Abs (Mal, CA, autres)",0,($B$15*$B$8*E51)/30)</f>
        <v>0</v>
      </c>
      <c r="C53" s="85"/>
      <c r="D53" s="76" t="e">
        <f>IF(A51="Abs (Mal, CA, autres)",0,B53+$I$12+$J$12+F53)</f>
        <v>#DIV/0!</v>
      </c>
      <c r="F53" s="186" t="e">
        <f>IF($I$23&lt;0,"",$I$23*(E51/($E$21+$E$26+$E$31+$E$36+$E$41+$E$46+$E$51+$E$56+$E$61+$E$66)))</f>
        <v>#DIV/0!</v>
      </c>
    </row>
    <row r="54" spans="1:8" x14ac:dyDescent="0.3">
      <c r="A54" s="199" t="s">
        <v>81</v>
      </c>
      <c r="B54" s="85">
        <f>IF(A51="Abs (Mal, CA, autres)",0,(($B$15*E51)/30)*$D$8)</f>
        <v>0</v>
      </c>
      <c r="C54" s="85"/>
      <c r="D54" s="84" t="e">
        <f>IF(A51="Abs (Mal, CA, autres)",0,(B54+$I$12+J12+F54+K12))</f>
        <v>#DIV/0!</v>
      </c>
      <c r="F54" s="187" t="e">
        <f>IF($I$24&lt;0,"",$I$24*(E51/($E$21+$E$26+$E$31+$E$36+$E$41+$E$46+$E$51+$E$56+$E$61+$E$66)))</f>
        <v>#DIV/0!</v>
      </c>
    </row>
    <row r="55" spans="1:8" ht="15" thickBot="1" x14ac:dyDescent="0.35">
      <c r="A55" s="200" t="s">
        <v>22</v>
      </c>
      <c r="B55" s="144"/>
      <c r="C55" s="144"/>
      <c r="D55" s="144" t="e">
        <f>D53-D54</f>
        <v>#DIV/0!</v>
      </c>
      <c r="E55" s="83"/>
      <c r="F55" s="188"/>
    </row>
    <row r="56" spans="1:8" x14ac:dyDescent="0.3">
      <c r="A56" s="201"/>
      <c r="B56" s="130"/>
      <c r="C56" s="130"/>
      <c r="D56" s="88">
        <f>IF(B56="",0,(C56-B56+1))</f>
        <v>0</v>
      </c>
      <c r="E56" s="209">
        <f>IF(D56=0,0,IF(OR($F$2=30,$F$2=D56),D56*30/$F$2,(D56*30/$F$2)+0.0005))</f>
        <v>0</v>
      </c>
      <c r="F56" s="184"/>
    </row>
    <row r="57" spans="1:8" x14ac:dyDescent="0.3">
      <c r="A57" s="196"/>
      <c r="B57" s="128"/>
      <c r="C57" s="128"/>
      <c r="F57" s="189"/>
    </row>
    <row r="58" spans="1:8" x14ac:dyDescent="0.3">
      <c r="A58" s="198" t="s">
        <v>79</v>
      </c>
      <c r="B58" s="85">
        <f>IF(A56="Abs (Mal, CA, autres)",0,($B$15*$B$8*E56)/30)</f>
        <v>0</v>
      </c>
      <c r="C58" s="85"/>
      <c r="D58" s="76" t="e">
        <f>IF(A56="Abs (Mal, CA, autres)",0,B58+$I$13+$J$13+F58)</f>
        <v>#DIV/0!</v>
      </c>
      <c r="F58" s="186" t="e">
        <f>IF($I$23&lt;0,"",$I$23*(E56/($E$21+$E$26+$E$31+$E$36+$E$41+$E$46+$E$51+$E$56+$E$61+$E$66)))</f>
        <v>#DIV/0!</v>
      </c>
    </row>
    <row r="59" spans="1:8" x14ac:dyDescent="0.3">
      <c r="A59" s="199" t="s">
        <v>81</v>
      </c>
      <c r="B59" s="85">
        <f>IF(A56="Abs (Mal, CA, autres)",0,(($B$15*E56)/30)*$D$8)</f>
        <v>0</v>
      </c>
      <c r="C59" s="85"/>
      <c r="D59" s="84" t="e">
        <f>IF(A56="Abs (Mal, CA, autres)",0,(B59+$I$13+J13+F59+K13))</f>
        <v>#DIV/0!</v>
      </c>
      <c r="F59" s="187" t="e">
        <f>IF($I$24&lt;0,"",$I$24*(E56/($E$21+$E$26+$E$31+$E$36+$E$41+$E$46+$E$51+$E$56+$E$61+$E$66)))</f>
        <v>#DIV/0!</v>
      </c>
    </row>
    <row r="60" spans="1:8" ht="15" thickBot="1" x14ac:dyDescent="0.35">
      <c r="A60" s="200" t="s">
        <v>22</v>
      </c>
      <c r="B60" s="144"/>
      <c r="C60" s="144"/>
      <c r="D60" s="144" t="e">
        <f>D58-D59</f>
        <v>#DIV/0!</v>
      </c>
      <c r="E60" s="83"/>
      <c r="F60" s="188"/>
    </row>
    <row r="61" spans="1:8" x14ac:dyDescent="0.3">
      <c r="A61" s="201"/>
      <c r="B61" s="130"/>
      <c r="C61" s="130"/>
      <c r="D61" s="88">
        <f>IF(B61="",0,(C61-B61+1))</f>
        <v>0</v>
      </c>
      <c r="E61" s="209">
        <f>IF(D61=0,0,IF(OR($F$2=30,$F$2=D61),D61*30/$F$2,(D61*30/$F$2)+0.0005))</f>
        <v>0</v>
      </c>
      <c r="F61" s="184"/>
    </row>
    <row r="62" spans="1:8" x14ac:dyDescent="0.3">
      <c r="A62" s="196"/>
      <c r="B62" s="128"/>
      <c r="C62" s="128"/>
      <c r="F62" s="189"/>
    </row>
    <row r="63" spans="1:8" x14ac:dyDescent="0.3">
      <c r="A63" s="198" t="s">
        <v>79</v>
      </c>
      <c r="B63" s="85">
        <f>IF(A61="Abs (Mal, CA, autres)",0,($B$15*$B$8*E61)/30)</f>
        <v>0</v>
      </c>
      <c r="C63" s="85"/>
      <c r="D63" s="76" t="e">
        <f>IF(A61="Abs (Mal, CA, autres)",0,B63+$I$14+$J$14+F63)</f>
        <v>#DIV/0!</v>
      </c>
      <c r="F63" s="186" t="e">
        <f>IF($I$23&lt;0,"",$I$23*(E61/($E$21+$E$26+$E$31+$E$36+$E$41+$E$46+$E$51+$E$56+$E$61+$E$66)))</f>
        <v>#DIV/0!</v>
      </c>
    </row>
    <row r="64" spans="1:8" x14ac:dyDescent="0.3">
      <c r="A64" s="199" t="s">
        <v>81</v>
      </c>
      <c r="B64" s="85">
        <f>IF(A61="Abs (Mal, CA, autres)",0,(($B$15*E61)/30)*$D$8)</f>
        <v>0</v>
      </c>
      <c r="C64" s="85"/>
      <c r="D64" s="84" t="e">
        <f>IF(A61="Abs (Mal, CA, autres)",0,(B64+$I$14+J14+F64+K14))</f>
        <v>#DIV/0!</v>
      </c>
      <c r="F64" s="187" t="e">
        <f>IF($I$24&lt;0,"",$I$24*(E61/($E$21+$E$26+$E$31+$E$36+$E$41+$E$46+$E$51+$E$56+$E$61+$E$66)))</f>
        <v>#DIV/0!</v>
      </c>
    </row>
    <row r="65" spans="1:7" ht="15" thickBot="1" x14ac:dyDescent="0.35">
      <c r="A65" s="200" t="s">
        <v>22</v>
      </c>
      <c r="B65" s="144"/>
      <c r="C65" s="144"/>
      <c r="D65" s="144" t="e">
        <f>D63-D64</f>
        <v>#DIV/0!</v>
      </c>
      <c r="E65" s="83"/>
      <c r="F65" s="188"/>
    </row>
    <row r="66" spans="1:7" x14ac:dyDescent="0.3">
      <c r="A66" s="201"/>
      <c r="B66" s="130"/>
      <c r="C66" s="130"/>
      <c r="D66" s="88">
        <f>IF(B66="",0,(C66-B66+1))</f>
        <v>0</v>
      </c>
      <c r="E66" s="209">
        <f>IF(D66=0,0,IF(OR($F$2=30,$F$2=D66),D66*30/$F$2,(D66*30/$F$2)+0.0005))</f>
        <v>0</v>
      </c>
      <c r="F66" s="184"/>
    </row>
    <row r="67" spans="1:7" x14ac:dyDescent="0.3">
      <c r="A67" s="196"/>
      <c r="B67" s="128"/>
      <c r="C67" s="128"/>
      <c r="F67" s="189"/>
    </row>
    <row r="68" spans="1:7" x14ac:dyDescent="0.3">
      <c r="A68" s="198" t="s">
        <v>79</v>
      </c>
      <c r="B68" s="85">
        <f>IF(A66="Abs (Mal, CA, autres)",0,($B$15*$B$8*E66)/30)</f>
        <v>0</v>
      </c>
      <c r="C68" s="85"/>
      <c r="D68" s="76" t="e">
        <f>IF(A66="Abs (Mal, CA, autres)",0,B68+$I$15+$J$15+F68)</f>
        <v>#DIV/0!</v>
      </c>
      <c r="F68" s="186" t="e">
        <f>IF($I$23&lt;0,"",$I$23*(E66/($E$21+$E$26+$E$31+$E$36+$E$41+$E$46+$E$51+$E$56+$E$61+$E$66)))</f>
        <v>#DIV/0!</v>
      </c>
    </row>
    <row r="69" spans="1:7" x14ac:dyDescent="0.3">
      <c r="A69" s="199" t="s">
        <v>81</v>
      </c>
      <c r="B69" s="85">
        <f>IF(A66="Abs (Mal, CA, autres)",0,(($B$15*E66)/30)*$D$8)</f>
        <v>0</v>
      </c>
      <c r="C69" s="85"/>
      <c r="D69" s="84" t="e">
        <f>IF(A66="Abs (Mal, CA, autres)",0,(B69+$I$15+J15+F69+K15))</f>
        <v>#DIV/0!</v>
      </c>
      <c r="F69" s="187" t="e">
        <f>IF($I$24&lt;0,"",$I$24*(E66/($E$21+$E$26+$E$31+$E$36+$E$41+$E$46+$E$51+$E$56+$E$61+$E$66)))</f>
        <v>#DIV/0!</v>
      </c>
    </row>
    <row r="70" spans="1:7" x14ac:dyDescent="0.3">
      <c r="A70" s="204" t="s">
        <v>22</v>
      </c>
      <c r="B70" s="205"/>
      <c r="C70" s="205"/>
      <c r="D70" s="205" t="e">
        <f>D68-D69</f>
        <v>#DIV/0!</v>
      </c>
      <c r="E70" s="206"/>
      <c r="F70" s="210"/>
    </row>
    <row r="71" spans="1:7" x14ac:dyDescent="0.3">
      <c r="A71" s="155"/>
      <c r="B71" s="154"/>
      <c r="C71" s="154"/>
      <c r="D71" s="154"/>
    </row>
    <row r="72" spans="1:7" x14ac:dyDescent="0.3">
      <c r="A72" s="292" t="s">
        <v>84</v>
      </c>
      <c r="B72" s="293"/>
      <c r="C72" s="293"/>
      <c r="D72" s="293"/>
      <c r="E72" s="293"/>
      <c r="F72" s="182" t="e">
        <f>+D25+D30+D35+D40+D45+D50+D55+D60+D65+D70</f>
        <v>#DIV/0!</v>
      </c>
    </row>
    <row r="73" spans="1:7" ht="15" thickBot="1" x14ac:dyDescent="0.35"/>
    <row r="74" spans="1:7" ht="15" thickBot="1" x14ac:dyDescent="0.35">
      <c r="A74" s="294" t="s">
        <v>85</v>
      </c>
      <c r="B74" s="295"/>
      <c r="C74" s="295"/>
      <c r="D74" s="295"/>
      <c r="E74" s="295"/>
      <c r="F74" s="82" t="e">
        <f>IF(I18&gt;0,D24-$E$16-$I$18+D29+D34+D39+D44+D49+D54+D59+D64+D69,D24-$E$16+D29+D34+D39+D44+D49+D54+D59+D64+D69)</f>
        <v>#DIV/0!</v>
      </c>
      <c r="G74" s="211" t="s">
        <v>78</v>
      </c>
    </row>
    <row r="75" spans="1:7" x14ac:dyDescent="0.3">
      <c r="A75" s="78"/>
      <c r="B75" s="79" t="s">
        <v>10</v>
      </c>
      <c r="C75" s="77" t="str">
        <f>+IF(B21&gt;0,B21,"")</f>
        <v/>
      </c>
      <c r="D75" s="80" t="s">
        <v>86</v>
      </c>
      <c r="E75" s="77" t="str">
        <f>+IF(C21&gt;0,C21,"")</f>
        <v/>
      </c>
      <c r="F75" s="76" t="e">
        <f>+D24-K6-J6</f>
        <v>#DIV/0!</v>
      </c>
      <c r="G75" s="214" t="e">
        <f>F24</f>
        <v>#DIV/0!</v>
      </c>
    </row>
    <row r="76" spans="1:7" x14ac:dyDescent="0.3">
      <c r="A76" s="79"/>
      <c r="B76" s="79" t="s">
        <v>87</v>
      </c>
      <c r="C76" s="77" t="str">
        <f>+IF(B26&gt;0,B26,"")</f>
        <v/>
      </c>
      <c r="D76" s="78" t="s">
        <v>86</v>
      </c>
      <c r="E76" s="77" t="str">
        <f>+IF(C26&gt;0,C26,"")</f>
        <v/>
      </c>
      <c r="F76" s="76" t="e">
        <f>+D29-J7-K7</f>
        <v>#DIV/0!</v>
      </c>
      <c r="G76" s="214" t="e">
        <f>F29</f>
        <v>#DIV/0!</v>
      </c>
    </row>
    <row r="77" spans="1:7" x14ac:dyDescent="0.3">
      <c r="A77" s="79"/>
      <c r="B77" s="79" t="s">
        <v>87</v>
      </c>
      <c r="C77" s="77" t="str">
        <f>+IF(B31&gt;0,B31,"")</f>
        <v/>
      </c>
      <c r="D77" s="78" t="s">
        <v>86</v>
      </c>
      <c r="E77" s="77" t="str">
        <f>+IF(C31&gt;0,C31,"")</f>
        <v/>
      </c>
      <c r="F77" s="76" t="e">
        <f>+D34-J8-K8</f>
        <v>#DIV/0!</v>
      </c>
      <c r="G77" s="214" t="e">
        <f>F34</f>
        <v>#DIV/0!</v>
      </c>
    </row>
    <row r="78" spans="1:7" x14ac:dyDescent="0.3">
      <c r="A78" s="79"/>
      <c r="B78" s="79" t="s">
        <v>87</v>
      </c>
      <c r="C78" s="77" t="str">
        <f>+IF(B36&gt;0,B36,"")</f>
        <v/>
      </c>
      <c r="D78" s="78" t="s">
        <v>86</v>
      </c>
      <c r="E78" s="77" t="str">
        <f>+IF(C36&gt;0,C36,"")</f>
        <v/>
      </c>
      <c r="F78" s="76" t="e">
        <f>+D39-J9-K9</f>
        <v>#DIV/0!</v>
      </c>
      <c r="G78" s="214" t="e">
        <f>F39</f>
        <v>#DIV/0!</v>
      </c>
    </row>
    <row r="79" spans="1:7" x14ac:dyDescent="0.3">
      <c r="A79" s="79"/>
      <c r="B79" s="79" t="s">
        <v>87</v>
      </c>
      <c r="C79" s="77" t="str">
        <f>+IF(B41&gt;0,B41,"")</f>
        <v/>
      </c>
      <c r="D79" s="78" t="s">
        <v>86</v>
      </c>
      <c r="E79" s="77" t="str">
        <f>+IF(C41&gt;0,C41,"")</f>
        <v/>
      </c>
      <c r="F79" s="76" t="e">
        <f>+D44-J10-K10</f>
        <v>#DIV/0!</v>
      </c>
      <c r="G79" s="214" t="e">
        <f>F44</f>
        <v>#DIV/0!</v>
      </c>
    </row>
    <row r="80" spans="1:7" x14ac:dyDescent="0.3">
      <c r="B80" s="79" t="s">
        <v>87</v>
      </c>
      <c r="C80" s="77" t="str">
        <f>+IF(B46&gt;0,B46,"")</f>
        <v/>
      </c>
      <c r="D80" s="78" t="s">
        <v>86</v>
      </c>
      <c r="E80" s="77" t="str">
        <f>+IF(C46&gt;0,C46,"")</f>
        <v/>
      </c>
      <c r="F80" s="76" t="e">
        <f>+D49-J11-K11</f>
        <v>#DIV/0!</v>
      </c>
      <c r="G80" s="214" t="e">
        <f>F49</f>
        <v>#DIV/0!</v>
      </c>
    </row>
    <row r="81" spans="2:7" x14ac:dyDescent="0.3">
      <c r="B81" s="79" t="s">
        <v>87</v>
      </c>
      <c r="C81" s="77" t="str">
        <f>+IF(B51&gt;0,B51,"")</f>
        <v/>
      </c>
      <c r="D81" s="78" t="s">
        <v>86</v>
      </c>
      <c r="E81" s="77" t="str">
        <f>+IF(C51&gt;0,C51,"")</f>
        <v/>
      </c>
      <c r="F81" s="76" t="e">
        <f>+D54-J12-K12</f>
        <v>#DIV/0!</v>
      </c>
      <c r="G81" s="214" t="e">
        <f>F54</f>
        <v>#DIV/0!</v>
      </c>
    </row>
    <row r="82" spans="2:7" x14ac:dyDescent="0.3">
      <c r="B82" s="79" t="s">
        <v>87</v>
      </c>
      <c r="C82" s="77" t="str">
        <f>+IF(B56&gt;0,B56,"")</f>
        <v/>
      </c>
      <c r="D82" s="78" t="s">
        <v>86</v>
      </c>
      <c r="E82" s="77" t="str">
        <f>+IF(C56&gt;0,C56,"")</f>
        <v/>
      </c>
      <c r="F82" s="76" t="e">
        <f>+D59-J13-K13</f>
        <v>#DIV/0!</v>
      </c>
      <c r="G82" s="214" t="e">
        <f>F59</f>
        <v>#DIV/0!</v>
      </c>
    </row>
    <row r="83" spans="2:7" x14ac:dyDescent="0.3">
      <c r="B83" s="79" t="s">
        <v>87</v>
      </c>
      <c r="C83" s="77" t="str">
        <f>+IF(B61&gt;0,B61,"")</f>
        <v/>
      </c>
      <c r="D83" s="78" t="s">
        <v>86</v>
      </c>
      <c r="E83" s="77" t="str">
        <f>+IF(C61&gt;0,C61,"")</f>
        <v/>
      </c>
      <c r="F83" s="76" t="e">
        <f>+D64-J14-K14</f>
        <v>#DIV/0!</v>
      </c>
      <c r="G83" s="214" t="e">
        <f>F64</f>
        <v>#DIV/0!</v>
      </c>
    </row>
    <row r="84" spans="2:7" x14ac:dyDescent="0.3">
      <c r="B84" s="79" t="s">
        <v>87</v>
      </c>
      <c r="C84" s="77" t="str">
        <f>+IF(B66&gt;0,B66,"")</f>
        <v/>
      </c>
      <c r="D84" s="78" t="s">
        <v>86</v>
      </c>
      <c r="E84" s="77" t="str">
        <f>+IF(C66&gt;0,C66,"")</f>
        <v/>
      </c>
      <c r="F84" s="76" t="e">
        <f>+D69-J15-K15</f>
        <v>#DIV/0!</v>
      </c>
      <c r="G84" s="214" t="e">
        <f>F69</f>
        <v>#DIV/0!</v>
      </c>
    </row>
  </sheetData>
  <mergeCells count="3">
    <mergeCell ref="A72:E72"/>
    <mergeCell ref="A74:E74"/>
    <mergeCell ref="D4:E4"/>
  </mergeCells>
  <phoneticPr fontId="26" type="noConversion"/>
  <dataValidations count="3">
    <dataValidation type="list" allowBlank="1" showInputMessage="1" showErrorMessage="1" errorTitle="Motif non connu" error="Merci de sélectionner un motif dans la liste déroulante" promptTitle="MOTIFS ABS" prompt="Sélectionner le motif de l'absence" sqref="A22 A52 A27 A32 A37 A42 A47 A57 A62 A67" xr:uid="{9DF4D535-FEC6-41AE-BE6F-7609939FF064}">
      <formula1>$R$2:$R$5</formula1>
    </dataValidation>
    <dataValidation type="list" allowBlank="1" showInputMessage="1" showErrorMessage="1" errorTitle="Motif non connu" error="Sélectionner le motif ML36 ou sélectionner un motif d'absence dans l'onglet en-dessous" promptTitle="Motifs" prompt="Sélectionner le motif ML36" sqref="A21 A26 A31 A36 A41 A46 A51 A56 A61 A66" xr:uid="{EAE24C45-685F-49CA-AC42-AD608B2F9A8A}">
      <formula1>$Q$2:$Q$6</formula1>
    </dataValidation>
    <dataValidation type="list" allowBlank="1" showInputMessage="1" showErrorMessage="1" errorTitle="Motif non connu" error="Sélectionner un motif connu " promptTitle="Motifs" prompt="Sélectionner le motif de la période" sqref="Q5:Q6 Q1:Q3" xr:uid="{FB14C5D5-2F64-4531-BFF2-2822A9FCDACE}">
      <formula1>$Q$2:$Q$6</formula1>
    </dataValidation>
  </dataValidations>
  <pageMargins left="0.7" right="0.7" top="0.75" bottom="0.75" header="0.3" footer="0.3"/>
  <pageSetup paperSize="9" scale="4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70615-1C58-46CF-A5FA-7B33E1ECE2AC}">
  <sheetPr>
    <tabColor theme="7" tint="-0.249977111117893"/>
  </sheetPr>
  <dimension ref="A1:S86"/>
  <sheetViews>
    <sheetView showGridLines="0" zoomScale="77" zoomScaleNormal="100" workbookViewId="0">
      <selection activeCell="B11" sqref="B11"/>
    </sheetView>
  </sheetViews>
  <sheetFormatPr baseColWidth="10" defaultColWidth="11.44140625" defaultRowHeight="14.4" x14ac:dyDescent="0.3"/>
  <cols>
    <col min="1" max="1" width="19.5546875" bestFit="1" customWidth="1"/>
    <col min="2" max="2" width="23.5546875" customWidth="1"/>
    <col min="3" max="3" width="14.33203125" bestFit="1" customWidth="1"/>
    <col min="4" max="4" width="17.109375" bestFit="1" customWidth="1"/>
    <col min="5" max="5" width="14.6640625" customWidth="1"/>
    <col min="6" max="6" width="15.33203125" bestFit="1" customWidth="1"/>
    <col min="7" max="7" width="13.44140625" bestFit="1" customWidth="1"/>
    <col min="9" max="9" width="23.88671875" bestFit="1" customWidth="1"/>
    <col min="10" max="10" width="18" customWidth="1"/>
    <col min="11" max="11" width="16.33203125" bestFit="1" customWidth="1"/>
    <col min="14" max="14" width="0" hidden="1" customWidth="1"/>
    <col min="15" max="15" width="11.44140625" hidden="1" customWidth="1"/>
    <col min="16" max="16" width="17.33203125" hidden="1" customWidth="1"/>
    <col min="17" max="17" width="10.88671875" hidden="1" customWidth="1"/>
    <col min="18" max="19" width="11.44140625" hidden="1" customWidth="1"/>
  </cols>
  <sheetData>
    <row r="1" spans="1:19" x14ac:dyDescent="0.3">
      <c r="A1" s="56" t="s">
        <v>2</v>
      </c>
      <c r="C1" s="163"/>
      <c r="E1" s="110" t="s">
        <v>36</v>
      </c>
      <c r="F1" s="115">
        <v>46174</v>
      </c>
      <c r="I1" s="81"/>
      <c r="R1" t="s">
        <v>37</v>
      </c>
      <c r="S1" t="s">
        <v>38</v>
      </c>
    </row>
    <row r="2" spans="1:19" x14ac:dyDescent="0.3">
      <c r="A2" s="56" t="s">
        <v>8</v>
      </c>
      <c r="B2" s="277"/>
      <c r="C2" s="164"/>
      <c r="E2" s="110" t="s">
        <v>40</v>
      </c>
      <c r="F2" s="113">
        <v>30</v>
      </c>
      <c r="R2" t="s">
        <v>88</v>
      </c>
      <c r="S2" t="s">
        <v>89</v>
      </c>
    </row>
    <row r="3" spans="1:19" x14ac:dyDescent="0.3">
      <c r="A3" s="56" t="s">
        <v>13</v>
      </c>
      <c r="B3" s="277"/>
      <c r="I3" s="298" t="s">
        <v>47</v>
      </c>
      <c r="J3" s="299"/>
      <c r="K3" s="299"/>
      <c r="L3" s="300"/>
      <c r="R3" t="s">
        <v>90</v>
      </c>
      <c r="S3" t="s">
        <v>91</v>
      </c>
    </row>
    <row r="4" spans="1:19" x14ac:dyDescent="0.3">
      <c r="A4" s="56" t="s">
        <v>15</v>
      </c>
      <c r="B4" s="277"/>
      <c r="D4" s="296" t="s">
        <v>46</v>
      </c>
      <c r="E4" s="297"/>
      <c r="F4" s="140">
        <f>($B$16*B9)+$E$17+$E$16-P6-P7-P8-P9-P10-P11-P12-P13-P14-P5+J23</f>
        <v>0</v>
      </c>
      <c r="I4" s="135"/>
      <c r="J4" s="135" t="s">
        <v>50</v>
      </c>
      <c r="K4" s="136" t="s">
        <v>51</v>
      </c>
      <c r="L4" s="135" t="s">
        <v>52</v>
      </c>
      <c r="O4" s="107" t="s">
        <v>53</v>
      </c>
      <c r="P4" s="107"/>
      <c r="S4" t="s">
        <v>54</v>
      </c>
    </row>
    <row r="5" spans="1:19" x14ac:dyDescent="0.3">
      <c r="A5" s="56" t="s">
        <v>17</v>
      </c>
      <c r="B5" s="277"/>
      <c r="D5" s="303"/>
      <c r="E5" s="303"/>
      <c r="F5" s="217"/>
      <c r="I5" s="158" t="s">
        <v>92</v>
      </c>
      <c r="J5" s="165" t="e">
        <f>IF(A20="CA",0,IF($E$16&lt;0,"",$E$16*(E20/($E$20+$E$25+$E$30+$E$35+$E$40+$E$45+$E$50+$E$55+$E$60+$E$65))))</f>
        <v>#DIV/0!</v>
      </c>
      <c r="K5" s="168" t="e">
        <f>IF($E$17&lt;0,"",$E$17*(E20/($E$20+$E$25+$E$30+$E$35+$E$40+$E$45+$E$50+$E$55+$E$60+$E$65)))</f>
        <v>#DIV/0!</v>
      </c>
      <c r="L5" s="168" t="e">
        <f>IF($J$20&lt;0,"",$J$20*(E20/($E$20+$E$25+$E$30+$E$35+$E$40+$E$45+$E$50+$E$55+$E$60+$E$65)))</f>
        <v>#DIV/0!</v>
      </c>
      <c r="O5" s="107" t="s">
        <v>55</v>
      </c>
      <c r="P5" s="134">
        <f>IF(A21="Abs sans solde",($B$16*((C21-B21+1)*30)/$F$2)/30,0)</f>
        <v>0</v>
      </c>
    </row>
    <row r="6" spans="1:19" x14ac:dyDescent="0.3">
      <c r="A6" s="56" t="s">
        <v>19</v>
      </c>
      <c r="B6" s="278"/>
      <c r="C6" s="77"/>
      <c r="I6" s="159" t="s">
        <v>93</v>
      </c>
      <c r="J6" s="161" t="e">
        <f>IF(A25="CA",0,IF($E$16&lt;0,"",$E$16*(E25/($E$20+$E$25+$E$30+$E$35+$E$40+$E$45+$E$50+$E$55+$E$60+$E$65))))</f>
        <v>#DIV/0!</v>
      </c>
      <c r="K6" s="169" t="e">
        <f>IF($E$17&lt;0,"",$E$17*(E25/($E$20+$E$25+$E$30+$E$35+$E$40+$E$45+$E$50+$E$55+$E$60+$E$65)))</f>
        <v>#DIV/0!</v>
      </c>
      <c r="L6" s="169" t="e">
        <f>IF($J$20&lt;0,"",$J$20*(E25/($E$20+$E$25+$E$30+$E$35+$E$40+$E$45+$E$50+$E$55+$E$60+$E$65)))</f>
        <v>#DIV/0!</v>
      </c>
      <c r="O6" s="107" t="s">
        <v>56</v>
      </c>
      <c r="P6" s="134">
        <f>IF(A26="Abs sans solde",($B$16*((C26-B26+1)*30)/$F$2)/30,0)</f>
        <v>0</v>
      </c>
    </row>
    <row r="7" spans="1:19" x14ac:dyDescent="0.3">
      <c r="A7" s="56" t="s">
        <v>21</v>
      </c>
      <c r="B7" s="278"/>
      <c r="C7" s="77"/>
      <c r="I7" s="159" t="s">
        <v>94</v>
      </c>
      <c r="J7" s="161" t="e">
        <f>IF(A30="CA",0,IF($E$16&lt;0,"",$E$16*(E30/($E$20+$E$25+$E$30+$E$35+$E$40+$E$45+$E$50+$E$55+$E$60+$E$65))))</f>
        <v>#DIV/0!</v>
      </c>
      <c r="K7" s="169" t="e">
        <f>IF($E$17&lt;0,"",$E$17*(E30/($E$20+$E$25+$E$30+$E$35+$E$40+$E$45+$E$50+$E$55+$E$60+$E$65)))</f>
        <v>#DIV/0!</v>
      </c>
      <c r="L7" s="169" t="e">
        <f>IF($J$20&lt;0,"",$J$20*(E30/($E$20+$E$25+$E$30+$E$35+$E$40+$E$45+$E$50+$E$55+$E$60+$E$65)))</f>
        <v>#DIV/0!</v>
      </c>
      <c r="O7" s="107" t="s">
        <v>59</v>
      </c>
      <c r="P7" s="134">
        <f>IF(A31="Abs sans solde",($B$16*((C31-B31+1)*30)/$F$2)/30,0)</f>
        <v>0</v>
      </c>
    </row>
    <row r="8" spans="1:19" x14ac:dyDescent="0.3">
      <c r="I8" s="159" t="s">
        <v>95</v>
      </c>
      <c r="J8" s="161" t="e">
        <f>IF(A35="CA",0,IF($E$16&lt;0,"",$E$16*(E35/($E$20+$E$25+$E$30+$E$35+$E$40+$E$45+$E$50+$E$55+$E$60+$E$65))))</f>
        <v>#DIV/0!</v>
      </c>
      <c r="K8" s="169" t="e">
        <f>IF($E$17&lt;0,"",$E$17*(E35/($E$20+$E$25+$E$30+$E$35+$E$40+$E$45+$E$50+$E$55+$E$60+$E$65)))</f>
        <v>#DIV/0!</v>
      </c>
      <c r="L8" s="169" t="e">
        <f>IF($J$20&lt;0,"",$J$20*(E35/($E$20+$E$25+$E$30+$E$35+$E$40+$E$45+$E$50+$E$55+$E$60+$E$65)))</f>
        <v>#DIV/0!</v>
      </c>
      <c r="O8" s="107" t="s">
        <v>60</v>
      </c>
      <c r="P8" s="134">
        <f>IF(A36="Abs sans solde",($B$16*((C36-B36+1)*30)/$F$2)/30,0)</f>
        <v>0</v>
      </c>
    </row>
    <row r="9" spans="1:19" x14ac:dyDescent="0.3">
      <c r="A9" s="213" t="s">
        <v>57</v>
      </c>
      <c r="B9" s="109">
        <v>1</v>
      </c>
      <c r="C9" s="78" t="s">
        <v>58</v>
      </c>
      <c r="D9" s="109">
        <v>0.5</v>
      </c>
      <c r="I9" s="159" t="s">
        <v>96</v>
      </c>
      <c r="J9" s="161" t="e">
        <f>IF(A40="CA",0,IF($E$16&lt;0,"",$E$16*(E40/($E$20+$E$25+$E$30+$E$35+$E$40+$E$45+$E$50+$E$55+$E$60+$E$65))))</f>
        <v>#DIV/0!</v>
      </c>
      <c r="K9" s="169" t="e">
        <f>IF($E$17&lt;0,"",$E$17*(E40/($E$20+$E$25+$E$30+$E$35+$E$40+$E$45+$E$50+$E$55+$E$60+$E$65)))</f>
        <v>#DIV/0!</v>
      </c>
      <c r="L9" s="169" t="e">
        <f>IF($J$20&lt;0,"",$J$20*(E40/($E$20+$E$25+$E$30+$E$35+$E$40+$E$45+$E$50+$E$55+$E$60+$E$65)))</f>
        <v>#DIV/0!</v>
      </c>
      <c r="O9" s="107" t="s">
        <v>63</v>
      </c>
      <c r="P9" s="134">
        <f>IF(A41="Abs sans solde",($B$16*((C41-B41+1)*30)/$F$2)/30,0)</f>
        <v>0</v>
      </c>
    </row>
    <row r="10" spans="1:19" x14ac:dyDescent="0.3">
      <c r="I10" s="159" t="s">
        <v>66</v>
      </c>
      <c r="J10" s="161" t="e">
        <f>IF(A45="CA",0,IF($E$16&lt;0,"",$E$16*(E45/($E$20+$E$25+$E$30+$E$35+$E$40+$E$45+$E$50+$E$55+$E$60+$E$65))))</f>
        <v>#DIV/0!</v>
      </c>
      <c r="K10" s="169" t="e">
        <f>IF($E$17&lt;0,"",$E$17*(E45/($E$20+$E$25+$E$30+$E$35+$E$40+$E$45+$E$50+$E$55+$E$60+$E$65)))</f>
        <v>#DIV/0!</v>
      </c>
      <c r="L10" s="169" t="e">
        <f>IF($J$20&lt;0,"",$J$20*(E45/($E$20+$E$25+$E$30+$E$35+$E$40+$E$45+$E$50+$E$55+$E$60+$E$65)))</f>
        <v>#DIV/0!</v>
      </c>
      <c r="O10" s="107" t="s">
        <v>66</v>
      </c>
      <c r="P10" s="134">
        <f>IF(A46="Abs sans solde",($B$16*((C46-B46+1)*30)/$F$2)/30,0)</f>
        <v>0</v>
      </c>
    </row>
    <row r="11" spans="1:19" x14ac:dyDescent="0.3">
      <c r="A11" t="s">
        <v>61</v>
      </c>
      <c r="B11" s="105"/>
      <c r="D11" t="s">
        <v>97</v>
      </c>
      <c r="E11" s="105"/>
      <c r="I11" s="159" t="s">
        <v>67</v>
      </c>
      <c r="J11" s="161" t="e">
        <f>IF(A50="CA",0,IF($E$16&lt;0,"",$E$16*(E50/($E$20+$E$25+$E$30+$E$35+$E$40+$E$45+$E$50+$E$55+$E$60+$E$65))))</f>
        <v>#DIV/0!</v>
      </c>
      <c r="K11" s="169" t="e">
        <f>IF($E$17&lt;0,"",$E$17*(E50/($E$20+$E$25+$E$30+$E$35+$E$40+$E$45+$E$50+$E$55+$E$60+$E$65)))</f>
        <v>#DIV/0!</v>
      </c>
      <c r="L11" s="169" t="e">
        <f>IF($J$20&lt;0,"",$J$20*(E50/($E$20+$E$25+$E$30+$E$35+$E$40+$E$45+$E$50+$E$55+$E$60+$E$65)))</f>
        <v>#DIV/0!</v>
      </c>
      <c r="O11" s="107" t="s">
        <v>67</v>
      </c>
      <c r="P11" s="134">
        <f>IF(A51="Abs sans solde",($B$16*((C51-B51+1)*30)/$F$2)/30,0)</f>
        <v>0</v>
      </c>
    </row>
    <row r="12" spans="1:19" x14ac:dyDescent="0.3">
      <c r="A12" t="s">
        <v>64</v>
      </c>
      <c r="B12" s="105"/>
      <c r="D12" t="s">
        <v>62</v>
      </c>
      <c r="E12" s="105"/>
      <c r="I12" s="159" t="s">
        <v>68</v>
      </c>
      <c r="J12" s="161" t="e">
        <f>IF(A55="CA",0,IF($E$16&lt;0,"",$E$16*(E55/($E$20+$E$25+$E$30+$E$35+$E$40+$E$45+$E$50+$E$55+$E$60+$E$65))))</f>
        <v>#DIV/0!</v>
      </c>
      <c r="K12" s="169" t="e">
        <f>IF($E$17&lt;0,"",$E$17*(E55/($E$20+$E$25+$E$30+$E$35+$E$40+$E$45+$E$50+$E$55+$E$60+$E$65)))</f>
        <v>#DIV/0!</v>
      </c>
      <c r="L12" s="169" t="e">
        <f>IF($J$20&lt;0,"",$J$20*(E55/($E$20+$E$25+$E$30+$E$35+$E$40+$E$45+$E$50+$E$55+$E$60+$E$65)))</f>
        <v>#DIV/0!</v>
      </c>
      <c r="O12" s="107" t="s">
        <v>68</v>
      </c>
      <c r="P12" s="134">
        <f>IF(A56="Abs sans solde",($B$16*((C56-B56+1)*30)/$F$2)/30,0)</f>
        <v>0</v>
      </c>
    </row>
    <row r="13" spans="1:19" x14ac:dyDescent="0.3">
      <c r="B13" s="105"/>
      <c r="E13" s="105"/>
      <c r="I13" s="159" t="s">
        <v>69</v>
      </c>
      <c r="J13" s="161" t="e">
        <f>IF(A60="CA",0,IF($E$16&lt;0,"",$E$16*(E60/($E$20+$E$25+$E$30+$E$35+$E$40+$E$45+$E$50+$E$55+$E$60+$E$65))))</f>
        <v>#DIV/0!</v>
      </c>
      <c r="K13" s="169" t="e">
        <f>IF($E$17&lt;0,"",$E$17*(E60/($E$20+$E$25+$E$30+$E$35+$E$40+$E$45+$E$50+$E$55+$E$60+$E$65)))</f>
        <v>#DIV/0!</v>
      </c>
      <c r="L13" s="169" t="e">
        <f>IF($J$20&lt;0,"",$J$20*(E60/($E$20+$E$25+$E$30+$E$35+$E$40+$E$45+$E$50+$E$55+$E$60+$E$65)))</f>
        <v>#DIV/0!</v>
      </c>
      <c r="O13" s="107" t="s">
        <v>69</v>
      </c>
      <c r="P13" s="134">
        <f>IF(A61="Abs sans solde",($B$16*((C61-B61+1)*30)/$F$2)/30,0)</f>
        <v>0</v>
      </c>
    </row>
    <row r="14" spans="1:19" x14ac:dyDescent="0.3">
      <c r="B14" s="105"/>
      <c r="E14" s="105"/>
      <c r="I14" s="160" t="s">
        <v>70</v>
      </c>
      <c r="J14" s="166" t="e">
        <f>IF(A57="CA",0,IF($E$16&lt;0,"",$E$16*(E65/($E$20+$E$25+$E$30+$E$35+$E$40+$E$45+$E$50+$E$55+$E$60+$E$65))))</f>
        <v>#DIV/0!</v>
      </c>
      <c r="K14" s="170" t="e">
        <f>IF($E$17&lt;0,"",$E$17*(E65/($E$20+$E$25+$E$30+$E$35+$E$40+$E$45+$E$50+$E$55+$E$60+$E$65)))</f>
        <v>#DIV/0!</v>
      </c>
      <c r="L14" s="170" t="e">
        <f>IF($J$20&lt;0,"",$J$20*(E65/($E$20+$E$25+$E$30+$E$35+$E$40+$E$45+$E$50+$E$55+$E$60+$E$65)))</f>
        <v>#DIV/0!</v>
      </c>
      <c r="O14" s="107" t="s">
        <v>70</v>
      </c>
      <c r="P14" s="134">
        <f>IF(A66="Abs sans solde",($B$16*((C66-B66+1)*30)/$F$2)/30,0)</f>
        <v>0</v>
      </c>
    </row>
    <row r="15" spans="1:19" ht="15" thickBot="1" x14ac:dyDescent="0.35">
      <c r="B15" s="104"/>
      <c r="E15" s="104"/>
    </row>
    <row r="16" spans="1:19" x14ac:dyDescent="0.3">
      <c r="B16" s="103">
        <f>SUM(B11:B15)</f>
        <v>0</v>
      </c>
      <c r="E16" s="103">
        <f>SUM(E11:E15)</f>
        <v>0</v>
      </c>
      <c r="I16" s="103"/>
    </row>
    <row r="17" spans="1:12" x14ac:dyDescent="0.3">
      <c r="D17" t="s">
        <v>98</v>
      </c>
      <c r="E17" s="102"/>
      <c r="G17" s="101"/>
      <c r="H17" s="101"/>
      <c r="I17" s="103"/>
    </row>
    <row r="18" spans="1:12" ht="15" thickBot="1" x14ac:dyDescent="0.35"/>
    <row r="19" spans="1:12" s="93" customFormat="1" ht="15" thickBot="1" x14ac:dyDescent="0.35">
      <c r="A19" s="95" t="s">
        <v>38</v>
      </c>
      <c r="B19" s="94" t="s">
        <v>74</v>
      </c>
      <c r="C19" s="94" t="s">
        <v>75</v>
      </c>
      <c r="D19" s="94" t="s">
        <v>76</v>
      </c>
      <c r="E19" s="94" t="s">
        <v>77</v>
      </c>
      <c r="F19" s="195">
        <v>0.21</v>
      </c>
      <c r="G19" s="211" t="s">
        <v>78</v>
      </c>
      <c r="H19"/>
      <c r="I19" s="127" t="s">
        <v>72</v>
      </c>
      <c r="J19" s="126"/>
    </row>
    <row r="20" spans="1:12" x14ac:dyDescent="0.3">
      <c r="A20" s="123" t="s">
        <v>88</v>
      </c>
      <c r="B20" s="89"/>
      <c r="C20" s="89"/>
      <c r="D20" s="88">
        <f>IF(B20="",0,(C20-B20+1))</f>
        <v>0</v>
      </c>
      <c r="E20" s="87">
        <f>IF(D20=0,0,IF(A20="CA",0,IF(OR($F$2=30,$F$2=D20),D20*30/$F$2,(D20*30/$F$2)+0.0005)))</f>
        <v>0</v>
      </c>
      <c r="F20" s="190"/>
      <c r="G20" s="184"/>
      <c r="I20" s="79" t="s">
        <v>73</v>
      </c>
      <c r="J20" s="125">
        <f>+J19*0.245</f>
        <v>0</v>
      </c>
    </row>
    <row r="21" spans="1:12" x14ac:dyDescent="0.3">
      <c r="A21" s="129"/>
      <c r="B21" s="128"/>
      <c r="C21" s="128"/>
      <c r="E21" s="122">
        <f>IF(D20=0,0,IF(A20="ML37",0,IF(OR($F$2=30,$F$2=D20),D20*30/$F$2,(D20*30/$F$2)+0.0005)))</f>
        <v>0</v>
      </c>
      <c r="F21" s="191"/>
      <c r="G21" s="185"/>
    </row>
    <row r="22" spans="1:12" ht="15" thickBot="1" x14ac:dyDescent="0.35">
      <c r="A22" s="86" t="s">
        <v>79</v>
      </c>
      <c r="B22" s="85">
        <f>IF(A20="MALADIE",0,IF(A20="ML37",($B$16*$B$9*E20)/30,($B$16*$B$9*E21)/30))</f>
        <v>0</v>
      </c>
      <c r="C22" s="85"/>
      <c r="D22" s="76" t="e">
        <f>IF(A20="MALADIE",0,IF(A20="ML37",B22+$J$5+K5+G22,0))</f>
        <v>#DIV/0!</v>
      </c>
      <c r="F22" s="191"/>
      <c r="G22" s="186" t="e">
        <f>IF($J$23&lt;0,"",$J$23*(E20/($E$20+$E$25+$E$30+$E$35+$E$40+$E$45+$E$50+$E$55+$E$60+$E$65)))</f>
        <v>#DIV/0!</v>
      </c>
    </row>
    <row r="23" spans="1:12" s="81" customFormat="1" x14ac:dyDescent="0.3">
      <c r="A23" s="180" t="s">
        <v>81</v>
      </c>
      <c r="B23" s="177">
        <f>IF(A20="MALADIE",0,IF(A20="ML37",((($B$16*E20)/30)*$D$9),B22))</f>
        <v>0</v>
      </c>
      <c r="C23" s="181"/>
      <c r="D23" s="84" t="e">
        <f>IF(A20="MALADIE",0,IF(A20="ML37",(B23+J5+K5+L5+G23),B23))</f>
        <v>#DIV/0!</v>
      </c>
      <c r="F23" s="192">
        <f>+IF($E$20&gt;0,D23*$F$19,B23*$F$19)</f>
        <v>0</v>
      </c>
      <c r="G23" s="187" t="e">
        <f>IF($J$24&lt;0,"",$J$24*(E20/($E$20+$E$25+$E$30+$E$35+$E$40+$E$45+$E$50+$E$55+$E$60+$E$65)))</f>
        <v>#DIV/0!</v>
      </c>
      <c r="H23"/>
      <c r="I23" s="146" t="s">
        <v>80</v>
      </c>
      <c r="J23" s="100"/>
    </row>
    <row r="24" spans="1:12" s="81" customFormat="1" ht="15" thickBot="1" x14ac:dyDescent="0.35">
      <c r="A24" s="145" t="s">
        <v>22</v>
      </c>
      <c r="B24" s="178"/>
      <c r="C24" s="178"/>
      <c r="D24" s="120" t="e">
        <f>IF(D22=0,0,D22-D23)</f>
        <v>#DIV/0!</v>
      </c>
      <c r="E24" s="179"/>
      <c r="F24" s="192">
        <f>+IF($E$20&gt;0,D24*$F$19,B24*$F$19)</f>
        <v>0</v>
      </c>
      <c r="G24" s="188"/>
      <c r="H24"/>
      <c r="I24" s="147" t="s">
        <v>82</v>
      </c>
      <c r="J24" s="98"/>
    </row>
    <row r="25" spans="1:12" ht="15" thickBot="1" x14ac:dyDescent="0.35">
      <c r="A25" s="123"/>
      <c r="B25" s="89"/>
      <c r="C25" s="89"/>
      <c r="D25" s="88">
        <f>IF(B25="",0,(C25-B25+1))</f>
        <v>0</v>
      </c>
      <c r="E25" s="87">
        <f>IF(D25=0,0,IF(A25="CA",0,IF(OR($F$2=30,$F$2=D25),D25*30/$F$2,(D25*30/$F$2)+0.0005)))</f>
        <v>0</v>
      </c>
      <c r="F25" s="190"/>
      <c r="G25" s="184"/>
      <c r="I25" s="97" t="s">
        <v>83</v>
      </c>
      <c r="J25" s="96">
        <f>J23-J24</f>
        <v>0</v>
      </c>
    </row>
    <row r="26" spans="1:12" x14ac:dyDescent="0.3">
      <c r="A26" s="129"/>
      <c r="B26" s="128"/>
      <c r="C26" s="128"/>
      <c r="E26" s="122">
        <f>IF(D25=0,0,IF(A25="ML37",0,IF(OR($F$2=30,$F$2=D25),D25*30/$F$2,(D25*30/$F$2)+0.0005)))</f>
        <v>0</v>
      </c>
      <c r="F26" s="191"/>
      <c r="G26" s="189"/>
      <c r="I26" s="110"/>
    </row>
    <row r="27" spans="1:12" x14ac:dyDescent="0.3">
      <c r="A27" s="86" t="s">
        <v>79</v>
      </c>
      <c r="B27" s="85">
        <f>IF(A25="MALADIE",0,IF(A25="ML37",($B$16*$B$9*E25)/30,($B$16*$B$9*E26)/30))</f>
        <v>0</v>
      </c>
      <c r="C27" s="85"/>
      <c r="D27" s="76">
        <f>IF(A25="MALADIE",0,IF(A25="ML37",B27+$J$6+K6+G27,0))</f>
        <v>0</v>
      </c>
      <c r="F27" s="191"/>
      <c r="G27" s="186" t="e">
        <f>IF($J$23&lt;0,"",$J$23*(E25/($E$20+$E$25+$E$30+$E$35+$E$40+$E$45+$E$50+$E$55+$E$60+$E$65)))</f>
        <v>#DIV/0!</v>
      </c>
      <c r="I27" s="124"/>
      <c r="L27" s="76"/>
    </row>
    <row r="28" spans="1:12" s="81" customFormat="1" x14ac:dyDescent="0.3">
      <c r="A28" s="180" t="s">
        <v>81</v>
      </c>
      <c r="B28" s="177">
        <f>IF(A25="MALADIE",0,IF(A25="ML37",((($B$16*E25)/30)*$D$9),B27))</f>
        <v>0</v>
      </c>
      <c r="C28" s="181"/>
      <c r="D28" s="84">
        <f>IF(A25="MALADIE",0,IF(A25="ML37",(B28+J6+K6+L6+G28),B28))</f>
        <v>0</v>
      </c>
      <c r="F28" s="192">
        <f>+IF($E$25&gt;0,D28*$F$19,B28*$F$19)</f>
        <v>0</v>
      </c>
      <c r="G28" s="187" t="e">
        <f>IF($J$24&lt;0,"",$J$24*(E25/($E$20+$E$25+$E$30+$E$35+$E$40+$E$45+$E$50+$E$55+$E$60+$E$65)))</f>
        <v>#DIV/0!</v>
      </c>
      <c r="H28"/>
    </row>
    <row r="29" spans="1:12" s="81" customFormat="1" ht="15" thickBot="1" x14ac:dyDescent="0.35">
      <c r="A29" s="145" t="s">
        <v>22</v>
      </c>
      <c r="B29" s="178"/>
      <c r="C29" s="178"/>
      <c r="D29" s="120">
        <f>IF(D27=0,0,D27-D28)</f>
        <v>0</v>
      </c>
      <c r="E29" s="179"/>
      <c r="F29" s="192">
        <f>+IF($E$25&gt;0,D29*$F$19,B29*$F$19)</f>
        <v>0</v>
      </c>
      <c r="G29" s="188"/>
      <c r="H29"/>
    </row>
    <row r="30" spans="1:12" x14ac:dyDescent="0.3">
      <c r="A30" s="123"/>
      <c r="B30" s="89"/>
      <c r="C30" s="89"/>
      <c r="D30" s="88">
        <f>IF(B30="",0,(C30-B30+1))</f>
        <v>0</v>
      </c>
      <c r="E30" s="87">
        <f>IF(D30=0,0,IF(A30="CA",0,IF(OR($F$2=30,$F$2=D30),D30*30/$F$2,(D30*30/$F$2)+0.0005)))</f>
        <v>0</v>
      </c>
      <c r="F30" s="190"/>
      <c r="G30" s="184"/>
    </row>
    <row r="31" spans="1:12" x14ac:dyDescent="0.3">
      <c r="A31" s="129"/>
      <c r="B31" s="128"/>
      <c r="C31" s="128"/>
      <c r="E31" s="122">
        <f>IF(D30=0,0,IF(A30="ML37",0,IF(OR($F$2=30,$F$2=D30),D30*30/$F$2,(D30*30/$F$2)+0.0005)))</f>
        <v>0</v>
      </c>
      <c r="F31" s="191"/>
      <c r="G31" s="189"/>
    </row>
    <row r="32" spans="1:12" x14ac:dyDescent="0.3">
      <c r="A32" s="86" t="s">
        <v>79</v>
      </c>
      <c r="B32" s="85">
        <f>IF(A30="MALADIE",0,IF(A30="ML37",($B$16*$B$9*E30)/30,($B$16*$B$9*E31)/30))</f>
        <v>0</v>
      </c>
      <c r="C32" s="85"/>
      <c r="D32" s="76">
        <f>IF(A30="MALADIE",0,IF(A30="ML37",B32+$J$7+K7+G32,0))</f>
        <v>0</v>
      </c>
      <c r="E32" s="91"/>
      <c r="F32" s="191"/>
      <c r="G32" s="186" t="e">
        <f>IF($J$23&lt;0,"",$J$23*(E30/($E$20+$E$25+$E$30+$E$35+$E$40+$E$45+$E$50+$E$55+$E$60+$E$65)))</f>
        <v>#DIV/0!</v>
      </c>
    </row>
    <row r="33" spans="1:12" x14ac:dyDescent="0.3">
      <c r="A33" s="180" t="s">
        <v>81</v>
      </c>
      <c r="B33" s="177">
        <f>IF(A30="MALADIE",0,IF(A30="ML37",((($B$16*E30)/30)*$D$9),B32))</f>
        <v>0</v>
      </c>
      <c r="C33" s="177"/>
      <c r="D33" s="84">
        <f>IF(A30="MALADIE",0,IF(A30="ML37",(B33+J7+K7+L7+G33),B33))</f>
        <v>0</v>
      </c>
      <c r="E33" s="91"/>
      <c r="F33" s="193">
        <f>+IF($E$30&gt;0,D33*$F$19,B33*$F$19)</f>
        <v>0</v>
      </c>
      <c r="G33" s="187" t="e">
        <f>IF($J$24&lt;0,"",$J$24*(E30/($E$20+$E$25+$E$30+$E$35+$E$40+$E$45+$E$50+$E$55+$E$60+$E$65)))</f>
        <v>#DIV/0!</v>
      </c>
    </row>
    <row r="34" spans="1:12" ht="15" thickBot="1" x14ac:dyDescent="0.35">
      <c r="A34" s="145" t="s">
        <v>22</v>
      </c>
      <c r="B34" s="178"/>
      <c r="C34" s="178"/>
      <c r="D34" s="120">
        <f>IF(D32=0,0,D32-D33)</f>
        <v>0</v>
      </c>
      <c r="E34" s="83"/>
      <c r="F34" s="193">
        <f>+IF($E$30&gt;0,D34*$F$19,B34*$F$19)</f>
        <v>0</v>
      </c>
      <c r="G34" s="188"/>
    </row>
    <row r="35" spans="1:12" x14ac:dyDescent="0.3">
      <c r="A35" s="123"/>
      <c r="B35" s="89"/>
      <c r="C35" s="89"/>
      <c r="D35" s="88">
        <f>IF(B35="",0,(C35-B35+1))</f>
        <v>0</v>
      </c>
      <c r="E35" s="87">
        <f>IF(D35=0,0,IF(A35="CA",0,IF(OR($F$2=30,$F$2=D35),D35*30/$F$2,(D35*30/$F$2)+0.0005)))</f>
        <v>0</v>
      </c>
      <c r="F35" s="190"/>
      <c r="G35" s="184"/>
      <c r="L35" s="90"/>
    </row>
    <row r="36" spans="1:12" x14ac:dyDescent="0.3">
      <c r="A36" s="129"/>
      <c r="B36" s="128"/>
      <c r="C36" s="128"/>
      <c r="E36" s="122">
        <f>IF(D35=0,0,IF(A35="ML37",0,IF(OR($F$2=30,$F$2=D35),D35*30/$F$2,(D35*30/$F$2)+0.0005)))</f>
        <v>0</v>
      </c>
      <c r="F36" s="191"/>
      <c r="G36" s="189"/>
    </row>
    <row r="37" spans="1:12" x14ac:dyDescent="0.3">
      <c r="A37" s="86" t="s">
        <v>79</v>
      </c>
      <c r="B37" s="85">
        <f>IF(A35="MALADIE",0,IF(A35="ML37",($B$16*$B$9*E35)/30,($B$16*$B$9*E36)/30))</f>
        <v>0</v>
      </c>
      <c r="C37" s="85"/>
      <c r="D37" s="76">
        <f>IF(A35="MALADIE",0,IF(A35="ML37",B37+$J$8+K8+G37,0))</f>
        <v>0</v>
      </c>
      <c r="F37" s="191"/>
      <c r="G37" s="186" t="e">
        <f>IF($J$23&lt;0,"",$J$23*(E35/($E$20+$E$25+$E$30+$E$35+$E$40+$E$45+$E$50+$E$55+$E$60+$E$65)))</f>
        <v>#DIV/0!</v>
      </c>
    </row>
    <row r="38" spans="1:12" x14ac:dyDescent="0.3">
      <c r="A38" s="180" t="s">
        <v>81</v>
      </c>
      <c r="B38" s="177">
        <f>IF(A35="MALADIE",0,IF(A35="ML37",((($B$16*E35)/30)*$D$9),B37))</f>
        <v>0</v>
      </c>
      <c r="C38" s="177"/>
      <c r="D38" s="84">
        <f>IF(A35="MALADIE",0,IF(A35="ML37",(B38+J8+K8+L8+G38),B38))</f>
        <v>0</v>
      </c>
      <c r="F38" s="193">
        <f>+IF($E$35&gt;0,D38*$F$19,B38*$F$19)</f>
        <v>0</v>
      </c>
      <c r="G38" s="187" t="e">
        <f>IF($J$24&lt;0,"",$J$24*(E35/($E$20+$E$25+$E$30+$E$35+$E$40+$E$45+$E$50+$E$55+$E$60+$E$65)))</f>
        <v>#DIV/0!</v>
      </c>
    </row>
    <row r="39" spans="1:12" ht="15" thickBot="1" x14ac:dyDescent="0.35">
      <c r="A39" s="145" t="s">
        <v>22</v>
      </c>
      <c r="B39" s="178"/>
      <c r="C39" s="178"/>
      <c r="D39" s="120">
        <f>IF(D37=0,0,D37-D38)</f>
        <v>0</v>
      </c>
      <c r="E39" s="83"/>
      <c r="F39" s="193">
        <f>+IF($E$35&gt;0,D39*$F$19,B39*$F$19)</f>
        <v>0</v>
      </c>
      <c r="G39" s="188"/>
    </row>
    <row r="40" spans="1:12" x14ac:dyDescent="0.3">
      <c r="A40" s="123"/>
      <c r="B40" s="89"/>
      <c r="C40" s="89"/>
      <c r="D40" s="88">
        <f>IF(B40="",0,(C40-B40+1))</f>
        <v>0</v>
      </c>
      <c r="E40" s="87">
        <f>IF(D40=0,0,IF(A40="CA",0,IF(OR($F$2=30,$F$2=D40),D40*30/$F$2,(D40*30/$F$2)+0.0005)))</f>
        <v>0</v>
      </c>
      <c r="F40" s="190"/>
      <c r="G40" s="184"/>
    </row>
    <row r="41" spans="1:12" x14ac:dyDescent="0.3">
      <c r="A41" s="129"/>
      <c r="B41" s="128"/>
      <c r="C41" s="128"/>
      <c r="E41" s="122">
        <f>IF(D40=0,0,IF(A40="ML37",0,IF(OR($F$2=30,$F$2=D40),D40*30/$F$2,(D40*30/$F$2)+0.0005)))</f>
        <v>0</v>
      </c>
      <c r="F41" s="191"/>
      <c r="G41" s="189"/>
    </row>
    <row r="42" spans="1:12" x14ac:dyDescent="0.3">
      <c r="A42" s="86" t="s">
        <v>79</v>
      </c>
      <c r="B42" s="85">
        <f>IF(A40="MALADIE",0,IF(A40="ML37",($B$16*$B$9*E40)/30,($B$16*$B$9*E41)/30))</f>
        <v>0</v>
      </c>
      <c r="C42" s="85"/>
      <c r="D42" s="76">
        <f>IF(A40="MALADIE",0,IF(A40="ML37",B42+$J$9+K9+G42,0))</f>
        <v>0</v>
      </c>
      <c r="F42" s="191"/>
      <c r="G42" s="186" t="e">
        <f>IF($J$23&lt;0,"",$J$23*(E40/($E$20+$E$25+$E$30+$E$35+$E$40+$E$45+$E$50+$E$55+$E$60+$E$65)))</f>
        <v>#DIV/0!</v>
      </c>
    </row>
    <row r="43" spans="1:12" x14ac:dyDescent="0.3">
      <c r="A43" s="180" t="s">
        <v>81</v>
      </c>
      <c r="B43" s="177">
        <f>IF(A40="MALADIE",0,IF(A40="ML37",((($B$16*E40)/30)*$D$9),B42))</f>
        <v>0</v>
      </c>
      <c r="C43" s="177"/>
      <c r="D43" s="84">
        <f>IF(A40="MALADIE",0,IF(A40="ML37",(B43+J9+K9+L9+G43),B43))</f>
        <v>0</v>
      </c>
      <c r="F43" s="193">
        <f>+IF($E$40&gt;0,D43*$F$19,B43*$F$19)</f>
        <v>0</v>
      </c>
      <c r="G43" s="187" t="e">
        <f>IF($J$24&lt;0,"",$J$24*(E40/($E$20+$E$25+$E$30+$E$35+$E$40+$E$45+$E$50+$E$55+$E$60+$E$65)))</f>
        <v>#DIV/0!</v>
      </c>
    </row>
    <row r="44" spans="1:12" ht="15" thickBot="1" x14ac:dyDescent="0.35">
      <c r="A44" s="145" t="s">
        <v>22</v>
      </c>
      <c r="B44" s="178"/>
      <c r="C44" s="178"/>
      <c r="D44" s="120">
        <f>IF(D42=0,0,D42-D43)</f>
        <v>0</v>
      </c>
      <c r="E44" s="83"/>
      <c r="F44" s="194">
        <f>+IF($E$40&gt;0,D44*$F$19,B44*$F$19)</f>
        <v>0</v>
      </c>
      <c r="G44" s="188"/>
    </row>
    <row r="45" spans="1:12" x14ac:dyDescent="0.3">
      <c r="A45" s="123"/>
      <c r="B45" s="89"/>
      <c r="C45" s="89"/>
      <c r="D45" s="88">
        <f>IF(B45="",0,(C45-B45+1))</f>
        <v>0</v>
      </c>
      <c r="E45" s="87">
        <f>IF(D45=0,0,IF(A45="CA",0,IF(OR($F$2=30,$F$2=D45),D45*30/$F$2,(D45*30/$F$2)+0.0005)))</f>
        <v>0</v>
      </c>
      <c r="F45" s="190"/>
      <c r="G45" s="184"/>
    </row>
    <row r="46" spans="1:12" x14ac:dyDescent="0.3">
      <c r="A46" s="129"/>
      <c r="B46" s="128"/>
      <c r="C46" s="128"/>
      <c r="E46" s="122">
        <f>IF(D45=0,0,IF(A45="ML37",0,IF(OR($F$2=30,$F$2=D45),D45*30/$F$2,(D45*30/$F$2)+0.0005)))</f>
        <v>0</v>
      </c>
      <c r="F46" s="191"/>
      <c r="G46" s="189"/>
    </row>
    <row r="47" spans="1:12" x14ac:dyDescent="0.3">
      <c r="A47" s="86" t="s">
        <v>79</v>
      </c>
      <c r="B47" s="85">
        <f>IF(A45="MALADIE",0,IF(A45="ML37",($B$16*$B$9*E45)/30,($B$16*$B$9*E46)/30))</f>
        <v>0</v>
      </c>
      <c r="C47" s="85"/>
      <c r="D47" s="76">
        <f>IF(A45="MALADIE",0,IF(A45="ML37",B47+$J$10+K10+G47,0))</f>
        <v>0</v>
      </c>
      <c r="F47" s="191"/>
      <c r="G47" s="186" t="e">
        <f>IF($J$23&lt;0,"",$J$23*(E45/($E$20+$E$25+$E$30+$E$35+$E$40+$E$45+$E$50+$E$55+$E$60+$E$65)))</f>
        <v>#DIV/0!</v>
      </c>
    </row>
    <row r="48" spans="1:12" x14ac:dyDescent="0.3">
      <c r="A48" s="180" t="s">
        <v>81</v>
      </c>
      <c r="B48" s="177">
        <f>IF(A45="MALADIE",0,IF(A45="ML37",((($B$16*E45)/30)*$D$9),B47))</f>
        <v>0</v>
      </c>
      <c r="C48" s="177"/>
      <c r="D48" s="84">
        <f>IF(A45="MALADIE",0,IF(A45="ML37",(B48+J10+K10+L10+G48),B48))</f>
        <v>0</v>
      </c>
      <c r="F48" s="193">
        <f>+IF($E$45&gt;0,D48*$F$19,B48*$F$19)</f>
        <v>0</v>
      </c>
      <c r="G48" s="187" t="e">
        <f>IF($J$24&lt;0,"",$J$24*(E45/($E$20+$E$25+$E$30+$E$35+$E$40+$E$45+$E$50+$E$55+$E$60+$E$65)))</f>
        <v>#DIV/0!</v>
      </c>
    </row>
    <row r="49" spans="1:7" ht="15" thickBot="1" x14ac:dyDescent="0.35">
      <c r="A49" s="145" t="s">
        <v>22</v>
      </c>
      <c r="B49" s="178"/>
      <c r="C49" s="178"/>
      <c r="D49" s="120">
        <f>IF(D47=0,0,D47-D48)</f>
        <v>0</v>
      </c>
      <c r="E49" s="83"/>
      <c r="F49" s="194">
        <f>+IF($E$45&gt;0,D49*$F$19,B49*$F$19)</f>
        <v>0</v>
      </c>
      <c r="G49" s="188"/>
    </row>
    <row r="50" spans="1:7" x14ac:dyDescent="0.3">
      <c r="A50" s="123"/>
      <c r="B50" s="89"/>
      <c r="C50" s="89"/>
      <c r="D50" s="88">
        <f>IF(B50="",0,(C50-B50+1))</f>
        <v>0</v>
      </c>
      <c r="E50" s="87">
        <f>IF(D50=0,0,IF(A50="CA",0,IF(OR($F$2=30,$F$2=D50),D50*30/$F$2,(D50*30/$F$2)+0.0005)))</f>
        <v>0</v>
      </c>
      <c r="F50" s="190"/>
      <c r="G50" s="184"/>
    </row>
    <row r="51" spans="1:7" x14ac:dyDescent="0.3">
      <c r="A51" s="129"/>
      <c r="B51" s="128"/>
      <c r="C51" s="128"/>
      <c r="E51" s="122">
        <f>IF(D50=0,0,IF(A50="ML37",0,IF(OR($F$2=30,$F$2=D50),D50*30/$F$2,(D50*30/$F$2)+0.0005)))</f>
        <v>0</v>
      </c>
      <c r="F51" s="191"/>
      <c r="G51" s="189"/>
    </row>
    <row r="52" spans="1:7" x14ac:dyDescent="0.3">
      <c r="A52" s="86" t="s">
        <v>79</v>
      </c>
      <c r="B52" s="85">
        <f>IF(A50="MALADIE",0,IF(A50="ML37",($B$16*$B$9*E50)/30,($B$16*$B$9*E51)/30))</f>
        <v>0</v>
      </c>
      <c r="C52" s="85"/>
      <c r="D52" s="76">
        <f>IF(A50="MALADIE",0,IF(A50="ML37",B52+$J$11+K11+G52,0))</f>
        <v>0</v>
      </c>
      <c r="F52" s="191"/>
      <c r="G52" s="186" t="e">
        <f>IF($J$23&lt;0,"",$J$23*(E50/($E$20+$E$25+$E$30+$E$35+$E$40+$E$45+$E$50+$E$55+$E$60+$E$65)))</f>
        <v>#DIV/0!</v>
      </c>
    </row>
    <row r="53" spans="1:7" x14ac:dyDescent="0.3">
      <c r="A53" s="180" t="s">
        <v>81</v>
      </c>
      <c r="B53" s="177">
        <f>IF(A50="MALADIE",0,IF(A50="ML37",((($B$16*E50)/30)*$D$9),B52))</f>
        <v>0</v>
      </c>
      <c r="C53" s="177"/>
      <c r="D53" s="84">
        <f>IF(A50="MALADIE",0,IF(A50="ML37",(B53+J11+K11+L11+G53),B53))</f>
        <v>0</v>
      </c>
      <c r="F53" s="193">
        <f>+IF($E$50&gt;0,D53*$F$19,B53*$F$19)</f>
        <v>0</v>
      </c>
      <c r="G53" s="187" t="e">
        <f>IF($J$24&lt;0,"",$J$24*(E50/($E$20+$E$25+$E$30+$E$35+$E$40+$E$45+$E$50+$E$55+$E$60+$E$65)))</f>
        <v>#DIV/0!</v>
      </c>
    </row>
    <row r="54" spans="1:7" ht="15" thickBot="1" x14ac:dyDescent="0.35">
      <c r="A54" s="145" t="s">
        <v>22</v>
      </c>
      <c r="B54" s="178"/>
      <c r="C54" s="178"/>
      <c r="D54" s="120">
        <f>IF(D52=0,0,D52-D53)</f>
        <v>0</v>
      </c>
      <c r="E54" s="83"/>
      <c r="F54" s="194">
        <f>+IF($E$50&gt;0,D54*$F$19,B54*$F$19)</f>
        <v>0</v>
      </c>
      <c r="G54" s="188"/>
    </row>
    <row r="55" spans="1:7" x14ac:dyDescent="0.3">
      <c r="A55" s="123"/>
      <c r="B55" s="89"/>
      <c r="C55" s="89"/>
      <c r="D55" s="88">
        <f>IF(B55="",0,(C55-B55+1))</f>
        <v>0</v>
      </c>
      <c r="E55" s="87">
        <f>IF(D55=0,0,IF(A55="CA",0,IF(OR($F$2=30,$F$2=D55),D55*30/$F$2,(D55*30/$F$2)+0.0005)))</f>
        <v>0</v>
      </c>
      <c r="F55" s="190"/>
      <c r="G55" s="184"/>
    </row>
    <row r="56" spans="1:7" x14ac:dyDescent="0.3">
      <c r="A56" s="129"/>
      <c r="B56" s="128"/>
      <c r="C56" s="128"/>
      <c r="E56" s="122">
        <f>IF(D55=0,0,IF(A55="ML37",0,IF(OR($F$2=30,$F$2=D55),D55*30/$F$2,(D55*30/$F$2)+0.0005)))</f>
        <v>0</v>
      </c>
      <c r="F56" s="191"/>
      <c r="G56" s="189"/>
    </row>
    <row r="57" spans="1:7" x14ac:dyDescent="0.3">
      <c r="A57" s="86" t="s">
        <v>79</v>
      </c>
      <c r="B57" s="85">
        <f>IF(A55="MALADIE",0,IF(A55="ML37",($B$16*$B$9*E55)/30,($B$16*$B$9*E56)/30))</f>
        <v>0</v>
      </c>
      <c r="C57" s="85"/>
      <c r="D57" s="76">
        <f>IF(A55="MALADIE",0,IF(A55="ML37",B57+$J$12+K12+G57,0))</f>
        <v>0</v>
      </c>
      <c r="F57" s="191"/>
      <c r="G57" s="186" t="e">
        <f>IF($J$23&lt;0,"",$J$23*(E55/($E$20+$E$25+$E$30+$E$35+$E$40+$E$45+$E$50+$E$55+$E$60+$E$65)))</f>
        <v>#DIV/0!</v>
      </c>
    </row>
    <row r="58" spans="1:7" x14ac:dyDescent="0.3">
      <c r="A58" s="180" t="s">
        <v>81</v>
      </c>
      <c r="B58" s="177">
        <f>IF(A55="MALADIE",0,IF(A55="ML37",((($B$16*E55)/30)*$D$9),B57))</f>
        <v>0</v>
      </c>
      <c r="C58" s="177"/>
      <c r="D58" s="84">
        <f>IF(A55="MALADIE",0,IF(A55="ML37",(B58+J12+K12+L12+G58),B58))</f>
        <v>0</v>
      </c>
      <c r="F58" s="193">
        <f>+IF($E$55&gt;0,D58*$F$19,B58*$F$19)</f>
        <v>0</v>
      </c>
      <c r="G58" s="187" t="e">
        <f>IF($J$24&lt;0,"",$J$24*(E55/($E$20+$E$25+$E$30+$E$35+$E$40+$E$45+$E$50+$E$55+$E$60+$E$65)))</f>
        <v>#DIV/0!</v>
      </c>
    </row>
    <row r="59" spans="1:7" ht="15" thickBot="1" x14ac:dyDescent="0.35">
      <c r="A59" s="145" t="s">
        <v>22</v>
      </c>
      <c r="B59" s="178"/>
      <c r="C59" s="178"/>
      <c r="D59" s="120">
        <f>IF(D57=0,0,D57-D58)</f>
        <v>0</v>
      </c>
      <c r="E59" s="83"/>
      <c r="F59" s="194">
        <f>+IF($E$55&gt;0,D59*$F$19,B59*$F$19)</f>
        <v>0</v>
      </c>
      <c r="G59" s="188"/>
    </row>
    <row r="60" spans="1:7" x14ac:dyDescent="0.3">
      <c r="A60" s="123"/>
      <c r="B60" s="89"/>
      <c r="C60" s="89"/>
      <c r="D60" s="88">
        <f>IF(B60="",0,(C60-B60+1))</f>
        <v>0</v>
      </c>
      <c r="E60" s="87">
        <f>IF(D60=0,0,IF(A60="CA",0,IF(OR($F$2=30,$F$2=D60),D60*30/$F$2,(D60*30/$F$2)+0.0005)))</f>
        <v>0</v>
      </c>
      <c r="F60" s="190"/>
      <c r="G60" s="184"/>
    </row>
    <row r="61" spans="1:7" x14ac:dyDescent="0.3">
      <c r="A61" s="129"/>
      <c r="B61" s="128"/>
      <c r="C61" s="128"/>
      <c r="E61" s="122">
        <f>IF(D60=0,0,IF(A60="ML37",0,IF(OR($F$2=30,$F$2=D60),D60*30/$F$2,(D60*30/$F$2)+0.0005)))</f>
        <v>0</v>
      </c>
      <c r="F61" s="191"/>
      <c r="G61" s="189"/>
    </row>
    <row r="62" spans="1:7" x14ac:dyDescent="0.3">
      <c r="A62" s="86" t="s">
        <v>79</v>
      </c>
      <c r="B62" s="85">
        <f>IF(A60="MALADIE",0,IF(A60="ML37",($B$16*$B$9*E60)/30,($B$16*$B$9*E61)/30))</f>
        <v>0</v>
      </c>
      <c r="C62" s="85"/>
      <c r="D62" s="76">
        <f>IF(A60="MALADIE",0,IF(A60="ML37",B62+$J$13+K13+G62,0))</f>
        <v>0</v>
      </c>
      <c r="F62" s="191"/>
      <c r="G62" s="186" t="e">
        <f>IF($J$23&lt;0,"",$J$23*(E60/($E$20+$E$25+$E$30+$E$35+$E$40+$E$45+$E$50+$E$55+$E$60+$E$65)))</f>
        <v>#DIV/0!</v>
      </c>
    </row>
    <row r="63" spans="1:7" x14ac:dyDescent="0.3">
      <c r="A63" s="180" t="s">
        <v>81</v>
      </c>
      <c r="B63" s="177">
        <f>IF(A60="MALADIE",0,IF(A60="ML37",((($B$16*E60)/30)*$D$9),B62))</f>
        <v>0</v>
      </c>
      <c r="C63" s="177"/>
      <c r="D63" s="84">
        <f>IF(A60="MALADIE",0,IF(A60="ML37",(B63+J13+K13+L13+G63),B63))</f>
        <v>0</v>
      </c>
      <c r="F63" s="193">
        <f>+IF($E$55&gt;0,D63*$F$19,B63*$F$19)</f>
        <v>0</v>
      </c>
      <c r="G63" s="187" t="e">
        <f>IF($J$24&lt;0,"",$J$24*(E60/($E$20+$E$25+$E$30+$E$35+$E$40+$E$45+$E$50+$E$55+$E$60+$E$65)))</f>
        <v>#DIV/0!</v>
      </c>
    </row>
    <row r="64" spans="1:7" ht="15" thickBot="1" x14ac:dyDescent="0.35">
      <c r="A64" s="145" t="s">
        <v>22</v>
      </c>
      <c r="B64" s="178"/>
      <c r="C64" s="178"/>
      <c r="D64" s="120">
        <f>IF(D62=0,0,D62-D63)</f>
        <v>0</v>
      </c>
      <c r="E64" s="83"/>
      <c r="F64" s="194">
        <f>+IF($E$55&gt;0,D64*$F$19,B64*$F$19)</f>
        <v>0</v>
      </c>
      <c r="G64" s="188"/>
    </row>
    <row r="65" spans="1:9" x14ac:dyDescent="0.3">
      <c r="A65" s="123"/>
      <c r="B65" s="89"/>
      <c r="C65" s="89"/>
      <c r="D65" s="88">
        <f>IF(B65="",0,(C65-B65+1))</f>
        <v>0</v>
      </c>
      <c r="E65" s="87">
        <f>IF(D65=0,0,IF(A65="CA",0,IF(OR($F$2=30,$F$2=D65),D65*30/$F$2,(D65*30/$F$2)+0.0005)))</f>
        <v>0</v>
      </c>
      <c r="F65" s="190"/>
      <c r="G65" s="184"/>
    </row>
    <row r="66" spans="1:9" x14ac:dyDescent="0.3">
      <c r="A66" s="129"/>
      <c r="B66" s="128"/>
      <c r="C66" s="128"/>
      <c r="E66" s="122">
        <f>IF(D65=0,0,IF(A65="ML37",0,IF(OR($F$2=30,$F$2=D65),D65*30/$F$2,(D65*30/$F$2)+0.0005)))</f>
        <v>0</v>
      </c>
      <c r="F66" s="191"/>
      <c r="G66" s="189"/>
    </row>
    <row r="67" spans="1:9" x14ac:dyDescent="0.3">
      <c r="A67" s="86" t="s">
        <v>79</v>
      </c>
      <c r="B67" s="85">
        <f>IF(A65="MALADIE",0,IF(A65="ML37",($B$16*$B$9*E65)/30,($B$16*$B$9*E66)/30))</f>
        <v>0</v>
      </c>
      <c r="C67" s="85"/>
      <c r="D67" s="76">
        <f>IF(A65="MALADIE",0,IF(A65="ML37",B67+$J$14+K14+G67,0))</f>
        <v>0</v>
      </c>
      <c r="F67" s="191"/>
      <c r="G67" s="186" t="e">
        <f>IF($J$23&lt;0,"",$J$23*(E65/($E$20+$E$25+$E$30+$E$35+$E$40+$E$45+$E$50+$E$55+$E$60+$E$65)))</f>
        <v>#DIV/0!</v>
      </c>
    </row>
    <row r="68" spans="1:9" x14ac:dyDescent="0.3">
      <c r="A68" s="180" t="s">
        <v>81</v>
      </c>
      <c r="B68" s="177">
        <f>IF(A65="MALADIE",0,IF(A65="ML37",((($B$16*E65)/30)*$D$9),B67))</f>
        <v>0</v>
      </c>
      <c r="C68" s="177"/>
      <c r="D68" s="84">
        <f>IF(A65="MALADIE",0,IF(A65="ML37",(B68+J14+K14+L14+G68),B68))</f>
        <v>0</v>
      </c>
      <c r="F68" s="193">
        <f>+IF($E$55&gt;0,D68*$F$19,B68*$F$19)</f>
        <v>0</v>
      </c>
      <c r="G68" s="187" t="e">
        <f>IF($J$24&lt;0,"",$J$24*(E65/($E$20+$E$25+$E$30+$E$35+$E$40+$E$45+$E$50+$E$55+$E$60+$E$65)))</f>
        <v>#DIV/0!</v>
      </c>
    </row>
    <row r="69" spans="1:9" ht="15" thickBot="1" x14ac:dyDescent="0.35">
      <c r="A69" s="145" t="s">
        <v>22</v>
      </c>
      <c r="B69" s="178"/>
      <c r="C69" s="178"/>
      <c r="D69" s="120">
        <f>IF(D67=0,0,D67-D68)</f>
        <v>0</v>
      </c>
      <c r="E69" s="83"/>
      <c r="F69" s="194">
        <f>+IF($E$55&gt;0,D69*$F$19,B69*$F$19)</f>
        <v>0</v>
      </c>
      <c r="G69" s="188"/>
    </row>
    <row r="70" spans="1:9" x14ac:dyDescent="0.3">
      <c r="A70" s="141"/>
      <c r="B70" s="121"/>
      <c r="C70" s="121"/>
      <c r="D70" s="142"/>
      <c r="F70" s="85"/>
    </row>
    <row r="71" spans="1:9" x14ac:dyDescent="0.3">
      <c r="A71" s="141"/>
      <c r="B71" s="121"/>
      <c r="C71" s="121"/>
      <c r="D71" s="142"/>
      <c r="F71" s="85"/>
    </row>
    <row r="72" spans="1:9" x14ac:dyDescent="0.3">
      <c r="A72" s="301" t="s">
        <v>99</v>
      </c>
      <c r="B72" s="302"/>
      <c r="C72" s="302"/>
      <c r="D72" s="302"/>
      <c r="E72" s="302"/>
      <c r="F72" s="119" t="e">
        <f>D23+D28+D33+D38+D43+D48+D53+D58+D63+D68</f>
        <v>#DIV/0!</v>
      </c>
    </row>
    <row r="73" spans="1:9" x14ac:dyDescent="0.3">
      <c r="A73" s="292" t="s">
        <v>100</v>
      </c>
      <c r="B73" s="293"/>
      <c r="C73" s="293"/>
      <c r="D73" s="293"/>
      <c r="E73" s="293"/>
      <c r="F73" s="118" t="e">
        <f>+D24+D29+D34+D39+D44+D49+D54+D59+D64+D69</f>
        <v>#DIV/0!</v>
      </c>
    </row>
    <row r="74" spans="1:9" ht="15" thickBot="1" x14ac:dyDescent="0.35"/>
    <row r="75" spans="1:9" ht="15" thickBot="1" x14ac:dyDescent="0.35">
      <c r="A75" s="294" t="s">
        <v>85</v>
      </c>
      <c r="B75" s="295"/>
      <c r="C75" s="295"/>
      <c r="D75" s="295"/>
      <c r="E75" s="295"/>
      <c r="F75" s="117" t="e">
        <f>IF(J20&gt;0,D23-$E$17-$J$20+D28+D33+D38+D43+D48+D53+D58+D63+D68,D23-$E$17+D28+D33+D38+D43+D48+D53+D58+D63+D68)</f>
        <v>#DIV/0!</v>
      </c>
      <c r="G75" s="211" t="s">
        <v>78</v>
      </c>
    </row>
    <row r="76" spans="1:9" x14ac:dyDescent="0.3">
      <c r="A76" s="79" t="s">
        <v>101</v>
      </c>
      <c r="B76" s="79" t="s">
        <v>10</v>
      </c>
      <c r="C76" s="77" t="str">
        <f>+IF(B20&gt;0,B20,"")</f>
        <v/>
      </c>
      <c r="D76" s="80" t="s">
        <v>86</v>
      </c>
      <c r="E76" s="77" t="str">
        <f>+IF(C20&gt;0,C20,"")</f>
        <v/>
      </c>
      <c r="F76" s="76" t="e">
        <f>IF($A$20="CA",0,$D$23-$K$5-$L$5)</f>
        <v>#DIV/0!</v>
      </c>
      <c r="G76" s="214" t="e">
        <f>G23</f>
        <v>#DIV/0!</v>
      </c>
    </row>
    <row r="77" spans="1:9" x14ac:dyDescent="0.3">
      <c r="A77" s="79"/>
      <c r="B77" s="79" t="s">
        <v>87</v>
      </c>
      <c r="C77" s="77" t="str">
        <f>+IF(B25&gt;0,B25,"")</f>
        <v/>
      </c>
      <c r="D77" s="78" t="s">
        <v>86</v>
      </c>
      <c r="E77" s="77" t="str">
        <f>+IF(C25&gt;0,C25,"")</f>
        <v/>
      </c>
      <c r="F77" s="76" t="e">
        <f>IF($A$25="CA",0,$D$28-$K$6-$L$6)</f>
        <v>#DIV/0!</v>
      </c>
      <c r="G77" s="214" t="e">
        <f>G28</f>
        <v>#DIV/0!</v>
      </c>
    </row>
    <row r="78" spans="1:9" x14ac:dyDescent="0.3">
      <c r="A78" s="79"/>
      <c r="B78" s="79" t="s">
        <v>87</v>
      </c>
      <c r="C78" s="77" t="str">
        <f>+IF(B30&gt;0,B30,"")</f>
        <v/>
      </c>
      <c r="D78" s="78" t="s">
        <v>86</v>
      </c>
      <c r="E78" s="77" t="str">
        <f>+IF(C30&gt;0,C30,"")</f>
        <v/>
      </c>
      <c r="F78" s="76" t="e">
        <f>IF($A$30="CA",0,$D$33-$K$7-$L$7)</f>
        <v>#DIV/0!</v>
      </c>
      <c r="G78" s="214" t="e">
        <f>G33</f>
        <v>#DIV/0!</v>
      </c>
      <c r="I78" s="76"/>
    </row>
    <row r="79" spans="1:9" x14ac:dyDescent="0.3">
      <c r="A79" s="79"/>
      <c r="B79" s="79" t="s">
        <v>87</v>
      </c>
      <c r="C79" s="77" t="str">
        <f>+IF(B35&gt;0,B35,"")</f>
        <v/>
      </c>
      <c r="D79" s="78" t="s">
        <v>86</v>
      </c>
      <c r="E79" s="77" t="str">
        <f>+IF(C35&gt;0,C35,"")</f>
        <v/>
      </c>
      <c r="F79" s="76" t="e">
        <f>IF($A$35="CA",0,$D$38-$K$8-$L$8)</f>
        <v>#DIV/0!</v>
      </c>
      <c r="G79" s="214" t="e">
        <f>G38</f>
        <v>#DIV/0!</v>
      </c>
    </row>
    <row r="80" spans="1:9" x14ac:dyDescent="0.3">
      <c r="A80" s="79"/>
      <c r="B80" s="79" t="s">
        <v>87</v>
      </c>
      <c r="C80" s="77" t="str">
        <f>+IF(B40&gt;0,B40,"")</f>
        <v/>
      </c>
      <c r="D80" s="78" t="s">
        <v>86</v>
      </c>
      <c r="E80" s="77" t="str">
        <f>+IF(C40&gt;0,C40,"")</f>
        <v/>
      </c>
      <c r="F80" s="76" t="e">
        <f>IF($A$40="CA",0,$D$43-$K$9-$L$9)</f>
        <v>#DIV/0!</v>
      </c>
      <c r="G80" s="214" t="e">
        <f>G43</f>
        <v>#DIV/0!</v>
      </c>
    </row>
    <row r="81" spans="2:7" x14ac:dyDescent="0.3">
      <c r="B81" s="79" t="s">
        <v>87</v>
      </c>
      <c r="C81" s="77" t="str">
        <f>+IF(B45&gt;0,B45,"")</f>
        <v/>
      </c>
      <c r="D81" s="78" t="s">
        <v>86</v>
      </c>
      <c r="E81" s="77" t="str">
        <f>+IF(C45&gt;0,C45,"")</f>
        <v/>
      </c>
      <c r="F81" s="76" t="e">
        <f>IF($A$45="CA",0,$D$48-$K$10-$L$10)</f>
        <v>#DIV/0!</v>
      </c>
      <c r="G81" s="214" t="e">
        <f>G48</f>
        <v>#DIV/0!</v>
      </c>
    </row>
    <row r="82" spans="2:7" x14ac:dyDescent="0.3">
      <c r="B82" s="79" t="s">
        <v>87</v>
      </c>
      <c r="C82" s="77" t="str">
        <f>+IF(B50&gt;0,B50,"")</f>
        <v/>
      </c>
      <c r="D82" s="78" t="s">
        <v>86</v>
      </c>
      <c r="E82" s="77" t="str">
        <f>+IF(C50&gt;0,C50,"")</f>
        <v/>
      </c>
      <c r="F82" s="76" t="e">
        <f>IF($A$50="CA",0,$D$53-$K$11-$L$11)</f>
        <v>#DIV/0!</v>
      </c>
      <c r="G82" s="214" t="e">
        <f>G53</f>
        <v>#DIV/0!</v>
      </c>
    </row>
    <row r="83" spans="2:7" x14ac:dyDescent="0.3">
      <c r="B83" s="79" t="s">
        <v>87</v>
      </c>
      <c r="C83" s="77" t="str">
        <f>+IF(B55&gt;0,B55,"")</f>
        <v/>
      </c>
      <c r="D83" s="78" t="s">
        <v>86</v>
      </c>
      <c r="E83" s="77" t="str">
        <f>+IF(C55&gt;0,C55,"")</f>
        <v/>
      </c>
      <c r="F83" s="76" t="e">
        <f>IF($A$55="CA",0,$D$58-$K$12-$L$12)</f>
        <v>#DIV/0!</v>
      </c>
      <c r="G83" s="214" t="e">
        <f>G58</f>
        <v>#DIV/0!</v>
      </c>
    </row>
    <row r="84" spans="2:7" x14ac:dyDescent="0.3">
      <c r="B84" s="79" t="s">
        <v>87</v>
      </c>
      <c r="C84" s="77" t="str">
        <f>+IF(B60&gt;0,B60,"")</f>
        <v/>
      </c>
      <c r="D84" s="78" t="s">
        <v>86</v>
      </c>
      <c r="E84" s="77" t="str">
        <f>+IF(C60&gt;0,C60,"")</f>
        <v/>
      </c>
      <c r="F84" s="76" t="e">
        <f>IF($A$60="CA",0,$D$63-$K$13-$L$13)</f>
        <v>#DIV/0!</v>
      </c>
      <c r="G84" s="214" t="e">
        <f>G63</f>
        <v>#DIV/0!</v>
      </c>
    </row>
    <row r="85" spans="2:7" x14ac:dyDescent="0.3">
      <c r="B85" s="79" t="s">
        <v>87</v>
      </c>
      <c r="C85" s="77" t="str">
        <f>+IF(B65&gt;0,B65,"")</f>
        <v/>
      </c>
      <c r="D85" s="78" t="s">
        <v>86</v>
      </c>
      <c r="E85" s="77" t="str">
        <f>+IF(C65&gt;0,C65,"")</f>
        <v/>
      </c>
      <c r="F85" s="76" t="e">
        <f>IF($A$65="CA",0,$D$68-$K$14-$L$14)</f>
        <v>#DIV/0!</v>
      </c>
      <c r="G85" s="214" t="e">
        <f>G68</f>
        <v>#DIV/0!</v>
      </c>
    </row>
    <row r="86" spans="2:7" x14ac:dyDescent="0.3">
      <c r="B86" s="79"/>
      <c r="C86" s="77"/>
      <c r="D86" s="78"/>
      <c r="E86" s="77"/>
      <c r="F86" s="76"/>
    </row>
  </sheetData>
  <mergeCells count="6">
    <mergeCell ref="I3:L3"/>
    <mergeCell ref="A75:E75"/>
    <mergeCell ref="A73:E73"/>
    <mergeCell ref="A72:E72"/>
    <mergeCell ref="D4:E4"/>
    <mergeCell ref="D5:E5"/>
  </mergeCells>
  <phoneticPr fontId="26" type="noConversion"/>
  <dataValidations xWindow="82" yWindow="645" count="4">
    <dataValidation type="list" allowBlank="1" showInputMessage="1" showErrorMessage="1" errorTitle="Motif non connu" error="Sélectionner un motif connu " promptTitle="Motifs" prompt="Sélectionner le motif de la période" sqref="R1:R4" xr:uid="{DDF41512-C0AE-4F23-A3AE-9F015F5CD7A8}">
      <formula1>$R$2:$R$4</formula1>
    </dataValidation>
    <dataValidation type="list" allowBlank="1" showInputMessage="1" showErrorMessage="1" errorTitle="Motif non connu" error="Sélectionner ML37 ou un motif d'absence dans l'onglet en-dessous" promptTitle="Motifs" prompt="Sélectionner le motif de la période" sqref="A55 A65 A60 A50 A45 A40 A35 A30 A25" xr:uid="{8AC0E590-8423-4705-AD31-CDC88F6DA99D}">
      <formula1>$R$2:$R$4</formula1>
    </dataValidation>
    <dataValidation type="list" allowBlank="1" showInputMessage="1" showErrorMessage="1" errorTitle="Motif non connu" error="Sélectionner ML37 ou CA ou voir les motifs d'absence dans l'onglet en-dessous" promptTitle="Motifs" prompt="Sélectionner le motif de la période" sqref="A20" xr:uid="{26E34F4E-DD34-4CF5-81D3-B11228A55CA0}">
      <formula1>$R$2:$R$4</formula1>
    </dataValidation>
    <dataValidation type="list" allowBlank="1" showInputMessage="1" showErrorMessage="1" errorTitle="Motif non connu" error="Merci de sélectionner le motif d'absence dans la liste déroulante" promptTitle="Motifs absences" prompt="Sélectionner le motif d'absence" sqref="A56 A26 A31 A36 A41 A46 A51 A21 A61 A66" xr:uid="{252F0C11-9806-47CF-833B-E0294F94DBB1}">
      <formula1>$S$2:$S$4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743E-EE67-462E-AEBC-B81BE60BACA7}">
  <sheetPr>
    <pageSetUpPr fitToPage="1"/>
  </sheetPr>
  <dimension ref="A1:I57"/>
  <sheetViews>
    <sheetView showGridLines="0" tabSelected="1" topLeftCell="A7" workbookViewId="0">
      <selection activeCell="H26" sqref="H26"/>
    </sheetView>
  </sheetViews>
  <sheetFormatPr baseColWidth="10" defaultColWidth="11.44140625" defaultRowHeight="14.4" x14ac:dyDescent="0.3"/>
  <cols>
    <col min="1" max="1" width="3.6640625" customWidth="1"/>
    <col min="2" max="3" width="15.88671875" customWidth="1"/>
    <col min="4" max="4" width="22.33203125" customWidth="1"/>
    <col min="5" max="5" width="4.44140625" customWidth="1"/>
    <col min="6" max="7" width="16.6640625" customWidth="1"/>
    <col min="8" max="8" width="20.6640625" customWidth="1"/>
  </cols>
  <sheetData>
    <row r="1" spans="1:9" ht="14.4" customHeight="1" x14ac:dyDescent="0.3">
      <c r="A1" s="218"/>
      <c r="B1" s="218"/>
      <c r="C1" s="218"/>
      <c r="D1" s="218"/>
      <c r="E1" s="218"/>
      <c r="F1" s="218"/>
      <c r="G1" s="218"/>
      <c r="H1" s="218"/>
      <c r="I1" s="218"/>
    </row>
    <row r="2" spans="1:9" ht="34.200000000000003" customHeight="1" x14ac:dyDescent="0.3">
      <c r="A2" s="218"/>
      <c r="B2" s="218"/>
      <c r="C2" s="218"/>
      <c r="D2" s="218"/>
      <c r="E2" s="218"/>
      <c r="F2" s="218"/>
      <c r="G2" s="218"/>
      <c r="H2" s="218"/>
      <c r="I2" s="218"/>
    </row>
    <row r="3" spans="1:9" ht="32.4" customHeight="1" x14ac:dyDescent="0.35">
      <c r="A3" s="218"/>
      <c r="B3" s="321" t="s">
        <v>102</v>
      </c>
      <c r="C3" s="321"/>
      <c r="D3" s="321"/>
      <c r="E3" s="321"/>
      <c r="F3" s="321"/>
      <c r="G3" s="321"/>
      <c r="H3" s="321"/>
      <c r="I3" s="218"/>
    </row>
    <row r="4" spans="1:9" x14ac:dyDescent="0.3">
      <c r="A4" s="218"/>
      <c r="B4" s="218"/>
      <c r="C4" s="218"/>
      <c r="D4" s="218"/>
      <c r="E4" s="218"/>
      <c r="F4" s="218"/>
      <c r="G4" s="218"/>
      <c r="H4" s="218"/>
      <c r="I4" s="218"/>
    </row>
    <row r="5" spans="1:9" ht="15.6" customHeight="1" x14ac:dyDescent="0.3">
      <c r="A5" s="218"/>
      <c r="B5" s="223" t="s">
        <v>103</v>
      </c>
      <c r="C5" s="223"/>
      <c r="D5" s="224" t="s">
        <v>104</v>
      </c>
      <c r="E5" s="224"/>
      <c r="F5" s="218"/>
      <c r="G5" s="218"/>
      <c r="H5" s="224" t="s">
        <v>105</v>
      </c>
      <c r="I5" s="218"/>
    </row>
    <row r="6" spans="1:9" ht="15.6" x14ac:dyDescent="0.3">
      <c r="A6" s="218"/>
      <c r="B6" s="223"/>
      <c r="C6" s="223"/>
      <c r="D6" s="223"/>
      <c r="E6" s="223"/>
      <c r="F6" s="223"/>
      <c r="G6" s="223"/>
      <c r="H6" s="223"/>
      <c r="I6" s="218"/>
    </row>
    <row r="7" spans="1:9" ht="28.95" customHeight="1" x14ac:dyDescent="0.3">
      <c r="A7" s="218"/>
      <c r="B7" s="322" t="s">
        <v>106</v>
      </c>
      <c r="C7" s="322"/>
      <c r="D7" s="322"/>
      <c r="E7" s="322"/>
      <c r="F7" s="322"/>
      <c r="G7" s="322"/>
      <c r="H7" s="322"/>
      <c r="I7" s="218"/>
    </row>
    <row r="8" spans="1:9" x14ac:dyDescent="0.3">
      <c r="A8" s="218"/>
      <c r="B8" s="218"/>
      <c r="C8" s="218"/>
      <c r="D8" s="218"/>
      <c r="E8" s="218"/>
      <c r="F8" s="218"/>
      <c r="G8" s="218"/>
      <c r="H8" s="218"/>
      <c r="I8" s="218"/>
    </row>
    <row r="9" spans="1:9" ht="17.399999999999999" x14ac:dyDescent="0.3">
      <c r="A9" s="218"/>
      <c r="B9" s="323" t="s">
        <v>107</v>
      </c>
      <c r="C9" s="323"/>
      <c r="D9" s="323"/>
      <c r="E9" s="323"/>
      <c r="F9" s="323"/>
      <c r="G9" s="323"/>
      <c r="H9" s="323"/>
      <c r="I9" s="218"/>
    </row>
    <row r="10" spans="1:9" ht="15.6" x14ac:dyDescent="0.3">
      <c r="A10" s="218"/>
      <c r="B10" s="225"/>
      <c r="C10" s="225"/>
      <c r="D10" s="225"/>
      <c r="E10" s="225"/>
      <c r="F10" s="225"/>
      <c r="G10" s="225"/>
      <c r="H10" s="225"/>
      <c r="I10" s="218"/>
    </row>
    <row r="11" spans="1:9" x14ac:dyDescent="0.3">
      <c r="A11" s="226"/>
      <c r="B11" s="227" t="s">
        <v>15</v>
      </c>
      <c r="C11" s="228"/>
      <c r="D11" s="307" t="str">
        <f>IF('MATRICE ML36 VIERGE'!B4&lt;&gt;"",'MATRICE ML36 VIERGE'!B4,IF('MATRICE ML37 VIERGE'!B4&lt;&gt;"",'MATRICE ML37 VIERGE'!B4,""))</f>
        <v/>
      </c>
      <c r="E11" s="308"/>
      <c r="F11" s="308"/>
      <c r="G11" s="308"/>
      <c r="H11" s="309"/>
      <c r="I11" s="226"/>
    </row>
    <row r="12" spans="1:9" x14ac:dyDescent="0.3">
      <c r="A12" s="218"/>
      <c r="B12" s="229"/>
      <c r="C12" s="230"/>
      <c r="D12" s="230"/>
      <c r="E12" s="230"/>
      <c r="F12" s="230"/>
      <c r="G12" s="230"/>
      <c r="H12" s="230"/>
      <c r="I12" s="218"/>
    </row>
    <row r="13" spans="1:9" ht="15.6" x14ac:dyDescent="0.3">
      <c r="A13" s="231"/>
      <c r="B13" s="232" t="s">
        <v>17</v>
      </c>
      <c r="C13" s="225"/>
      <c r="D13" s="307" t="str">
        <f>IF('MATRICE ML36 VIERGE'!B5&lt;&gt;"",'MATRICE ML36 VIERGE'!B5,IF('MATRICE ML37 VIERGE'!B5&lt;&gt;"",'MATRICE ML37 VIERGE'!B5,""))</f>
        <v/>
      </c>
      <c r="E13" s="308"/>
      <c r="F13" s="308"/>
      <c r="G13" s="308"/>
      <c r="H13" s="309"/>
      <c r="I13" s="231"/>
    </row>
    <row r="14" spans="1:9" x14ac:dyDescent="0.3">
      <c r="A14" s="218"/>
      <c r="B14" s="229"/>
      <c r="C14" s="230"/>
      <c r="D14" s="230"/>
      <c r="E14" s="230"/>
      <c r="F14" s="230"/>
      <c r="G14" s="230"/>
      <c r="H14" s="230"/>
      <c r="I14" s="218"/>
    </row>
    <row r="15" spans="1:9" ht="15.6" x14ac:dyDescent="0.3">
      <c r="A15" s="231"/>
      <c r="B15" s="232" t="s">
        <v>108</v>
      </c>
      <c r="C15" s="225"/>
      <c r="D15" s="304" t="str">
        <f>IF('MATRICE ML36 VIERGE'!B2&lt;&gt;"",'MATRICE ML36 VIERGE'!B2,IF('MATRICE ML37 VIERGE'!B2&lt;&gt;"",'MATRICE ML37 VIERGE'!B2,""))</f>
        <v/>
      </c>
      <c r="E15" s="305"/>
      <c r="F15" s="305"/>
      <c r="G15" s="305"/>
      <c r="H15" s="306"/>
      <c r="I15" s="231"/>
    </row>
    <row r="16" spans="1:9" x14ac:dyDescent="0.3">
      <c r="A16" s="218"/>
      <c r="B16" s="229"/>
      <c r="C16" s="230"/>
      <c r="D16" s="230"/>
      <c r="E16" s="230"/>
      <c r="F16" s="230"/>
      <c r="G16" s="230"/>
      <c r="H16" s="230"/>
      <c r="I16" s="218"/>
    </row>
    <row r="17" spans="1:9" ht="15.6" x14ac:dyDescent="0.3">
      <c r="A17" s="231"/>
      <c r="B17" s="232" t="s">
        <v>109</v>
      </c>
      <c r="C17" s="231"/>
      <c r="D17" s="307" t="str">
        <f>IF('MATRICE ML36 VIERGE'!B3&lt;&gt;"",'MATRICE ML36 VIERGE'!B3,IF('MATRICE ML37 VIERGE'!B3&lt;&gt;"",'MATRICE ML37 VIERGE'!B3,""))</f>
        <v/>
      </c>
      <c r="E17" s="308"/>
      <c r="F17" s="308"/>
      <c r="G17" s="308"/>
      <c r="H17" s="309"/>
      <c r="I17" s="231"/>
    </row>
    <row r="18" spans="1:9" x14ac:dyDescent="0.3">
      <c r="A18" s="218"/>
      <c r="B18" s="229"/>
      <c r="C18" s="230"/>
      <c r="D18" s="230"/>
      <c r="E18" s="230"/>
      <c r="F18" s="230"/>
      <c r="G18" s="230"/>
      <c r="H18" s="230"/>
      <c r="I18" s="218"/>
    </row>
    <row r="19" spans="1:9" ht="15.6" x14ac:dyDescent="0.3">
      <c r="A19" s="231"/>
      <c r="B19" s="232" t="s">
        <v>110</v>
      </c>
      <c r="C19" s="231"/>
      <c r="D19" s="310"/>
      <c r="E19" s="311"/>
      <c r="F19" s="311"/>
      <c r="G19" s="311"/>
      <c r="H19" s="312"/>
      <c r="I19" s="231"/>
    </row>
    <row r="20" spans="1:9" ht="15.6" x14ac:dyDescent="0.3">
      <c r="A20" s="231"/>
      <c r="B20" s="232"/>
      <c r="C20" s="231"/>
      <c r="D20" s="233"/>
      <c r="E20" s="233"/>
      <c r="F20" s="233"/>
      <c r="G20" s="233"/>
      <c r="H20" s="233"/>
      <c r="I20" s="231"/>
    </row>
    <row r="21" spans="1:9" ht="15.6" x14ac:dyDescent="0.3">
      <c r="A21" s="231"/>
      <c r="B21" s="232" t="s">
        <v>111</v>
      </c>
      <c r="C21" s="231"/>
      <c r="D21" s="233" t="s">
        <v>112</v>
      </c>
      <c r="E21" s="233"/>
      <c r="F21" s="233" t="s">
        <v>113</v>
      </c>
      <c r="G21" s="233"/>
      <c r="H21" s="233" t="s">
        <v>114</v>
      </c>
      <c r="I21" s="231"/>
    </row>
    <row r="22" spans="1:9" ht="15" thickBot="1" x14ac:dyDescent="0.35">
      <c r="A22" s="218"/>
      <c r="B22" s="218"/>
      <c r="C22" s="218"/>
      <c r="D22" s="218"/>
      <c r="E22" s="218"/>
      <c r="F22" s="218"/>
      <c r="G22" s="218"/>
      <c r="H22" s="218"/>
      <c r="I22" s="218"/>
    </row>
    <row r="23" spans="1:9" x14ac:dyDescent="0.3">
      <c r="A23" s="218"/>
      <c r="B23" s="313"/>
      <c r="C23" s="314"/>
      <c r="D23" s="234"/>
      <c r="E23" s="235"/>
      <c r="F23" s="236"/>
      <c r="G23" s="234"/>
      <c r="H23" s="318" t="s">
        <v>115</v>
      </c>
      <c r="I23" s="218"/>
    </row>
    <row r="24" spans="1:9" ht="27" customHeight="1" thickBot="1" x14ac:dyDescent="0.35">
      <c r="A24" s="218"/>
      <c r="B24" s="315" t="s">
        <v>116</v>
      </c>
      <c r="C24" s="316"/>
      <c r="D24" s="237" t="s">
        <v>117</v>
      </c>
      <c r="E24" s="317" t="s">
        <v>118</v>
      </c>
      <c r="F24" s="316"/>
      <c r="G24" s="237" t="s">
        <v>119</v>
      </c>
      <c r="H24" s="319"/>
      <c r="I24" s="218"/>
    </row>
    <row r="25" spans="1:9" ht="15" thickBot="1" x14ac:dyDescent="0.35">
      <c r="A25" s="218"/>
      <c r="B25" s="238" t="s">
        <v>120</v>
      </c>
      <c r="C25" s="239" t="s">
        <v>121</v>
      </c>
      <c r="D25" s="240" t="s">
        <v>122</v>
      </c>
      <c r="E25" s="326"/>
      <c r="F25" s="327"/>
      <c r="G25" s="264"/>
      <c r="H25" s="320"/>
      <c r="I25" s="218"/>
    </row>
    <row r="26" spans="1:9" x14ac:dyDescent="0.3">
      <c r="A26" s="218"/>
      <c r="B26" s="241" t="str">
        <f>IF('MATRICE ML36 VIERGE'!B21&lt;&gt;"",TEXT('MATRICE ML36 VIERGE'!B21,"jj/mm/aaaa"),IF('MATRICE ML36 VIERGE'!B22&lt;&gt;"",TEXT('MATRICE ML36 VIERGE'!B22,"jj/mm/aaaa"),IF('MATRICE ML37 VIERGE'!B20&lt;&gt;"",TEXT('MATRICE ML37 VIERGE'!B20,"jj/mm/aaaa"),IF('MATRICE ML37 VIERGE'!B21&lt;&gt;"",TEXT('MATRICE ML37 VIERGE'!B21,"jj/mm/aaaa"),""))))</f>
        <v/>
      </c>
      <c r="C26" s="267" t="str">
        <f>IF('MATRICE ML36 VIERGE'!C21&lt;&gt;"",TEXT('MATRICE ML36 VIERGE'!C21,"jj/mm/aaaa"),IF('MATRICE ML36 VIERGE'!C22&lt;&gt;"",TEXT('MATRICE ML36 VIERGE'!C22,"jj/mm/aaaa"),IF('MATRICE ML37 VIERGE'!C20&lt;&gt;"",TEXT('MATRICE ML37 VIERGE'!C20,"jj/mm/aaaa"),IF('MATRICE ML37 VIERGE'!C21&lt;&gt;"",TEXT('MATRICE ML37 VIERGE'!C21,"jj/mm/aaaa"),""))))</f>
        <v/>
      </c>
      <c r="D26" s="271" t="str">
        <f>IF(AND(B26="",C26=""),"",IF(OR(COUNTIF('MATRICE ML36 VIERGE'!A21,"*Maladie*")&gt;0,COUNTIF('MATRICE ML36 VIERGE'!A26,"*Maladie*")&gt;0,COUNTIF('MATRICE ML36 VIERGE'!A31,"*Maladie*")&gt;0,COUNTIF('MATRICE ML36 VIERGE'!A36,"*Maladie*")&gt;0,COUNTIF('MATRICE ML36 VIERGE'!A41,"*Maladie*")&gt;0,COUNTIF('MATRICE ML36 VIERGE'!A46,"*Maladie*")&gt;0,COUNTIF('MATRICE ML36 VIERGE'!A51,"*Maladie*")&gt;0,COUNTIF('MATRICE ML37 VIERGE'!A22,"*Maladie*")&gt;0,COUNTIF('MATRICE ML37 VIERGE'!A27,"*Maladie*")&gt;0,COUNTIF('MATRICE ML37 VIERGE'!A32,"*Maladie*")&gt;0,COUNTIF('MATRICE ML37 VIERGE'!A37,"*Maladie*")&gt;0,COUNTIF('MATRICE ML37 VIERGE'!A42,"*Maladie*")&gt;0,COUNTIF('MATRICE ML37 VIERGE'!A47,"*Maladie*")&gt;0,COUNTIF('MATRICE ML37 VIERGE'!A52,"*Maladie*")&gt;0),"Maladie",IF(OR('MATRICE ML36 VIERGE'!A21="CA",'MATRICE ML36 VIERGE'!A21="CA/JEM",'MATRICE ML36 VIERGE'!A26="CA",'MATRICE ML36 VIERGE'!A26="CA/JEM",'MATRICE ML36 VIERGE'!A31="CA",'MATRICE ML36 VIERGE'!A31="CA/JEM",'MATRICE ML36 VIERGE'!A36="CA",'MATRICE ML36 VIERGE'!A36="CA/JEM",'MATRICE ML36 VIERGE'!A41="CA",'MATRICE ML36 VIERGE'!A41="CA/JEM",'MATRICE ML36 VIERGE'!A46="CA",'MATRICE ML36 VIERGE'!A46="CA/JEM",'MATRICE ML36 VIERGE'!A51="CA",'MATRICE ML36 VIERGE'!A51="CA/JEM",'MATRICE ML37 VIERGE'!A22="CA",'MATRICE ML37 VIERGE'!A22="CA/JEM",'MATRICE ML37 VIERGE'!A27="CA",'MATRICE ML37 VIERGE'!A27="CA/JEM",'MATRICE ML37 VIERGE'!A32="CA",'MATRICE ML37 VIERGE'!A32="CA/JEM",'MATRICE ML37 VIERGE'!A37="CA",'MATRICE ML37 VIERGE'!A37="CA/JEM",'MATRICE ML37 VIERGE'!A42="CA",'MATRICE ML37 VIERGE'!A42="CA/JEM",'MATRICE ML37 VIERGE'!A47="CA",'MATRICE ML37 VIERGE'!A47="CA/JEM",'MATRICE ML37 VIERGE'!A52="CA",'MATRICE ML37 VIERGE'!A52="CA/JEM"),"Congés annuels",IF(OR(IFERROR('MATRICE ML36 VIERGE'!F75,"")&lt;&gt;"",IFERROR('MATRICE ML37 VIERGE'!F76,"")&lt;&gt;""),IF(IFERROR('MATRICE ML36 VIERGE'!F75,0)&lt;&gt;0,IFERROR('MATRICE ML36 VIERGE'!F75,0),IF(IFERROR('MATRICE ML37 VIERGE'!F76,0)&lt;&gt;0,IFERROR('MATRICE ML37 VIERGE'!F76,0),"Congés annuels")),""))))</f>
        <v/>
      </c>
      <c r="E26" s="328" t="str">
        <f>IF(AND(IFERROR('MATRICE ML36 VIERGE'!G75,"")="",IFERROR('MATRICE ML37 VIERGE'!G76,"")=""),"",IF(IFERROR('MATRICE ML36 VIERGE'!G75,0)&lt;&gt;0,IFERROR('MATRICE ML36 VIERGE'!G75,0),IF(IFERROR('MATRICE ML37 VIERGE'!G76,0)&lt;&gt;0,IFERROR('MATRICE ML37 VIERGE'!G76,0),"")))</f>
        <v/>
      </c>
      <c r="F26" s="329"/>
      <c r="G26" s="274"/>
      <c r="H26" s="361" t="str">
        <f>IF(OR(D26="",D26="Congés annuels",D26="Maladie"),"",IF('MATRICE ML36 VIERGE'!D8&lt;&gt;"",'MATRICE ML36 VIERGE'!D8,IF('MATRICE ML37 VIERGE'!D9&lt;&gt;"",'MATRICE ML37 VIERGE'!D9,"")))</f>
        <v/>
      </c>
      <c r="I26" s="218"/>
    </row>
    <row r="27" spans="1:9" x14ac:dyDescent="0.3">
      <c r="A27" s="218"/>
      <c r="B27" s="242" t="str">
        <f>IF('MATRICE ML36 VIERGE'!B26&lt;&gt;"",TEXT('MATRICE ML36 VIERGE'!B26,"jj/mm/aaaa"),IF('MATRICE ML36 VIERGE'!B27&lt;&gt;"",TEXT('MATRICE ML36 VIERGE'!B27,"jj/mm/aaaa"),IF('MATRICE ML37 VIERGE'!B25&lt;&gt;"",TEXT('MATRICE ML37 VIERGE'!B25,"jj/mm/aaaa"),IF('MATRICE ML37 VIERGE'!B26&lt;&gt;"",TEXT('MATRICE ML37 VIERGE'!B26,"jj/mm/aaaa"),""))))</f>
        <v/>
      </c>
      <c r="C27" s="268" t="str">
        <f>IF('MATRICE ML36 VIERGE'!C26&lt;&gt;"",TEXT('MATRICE ML36 VIERGE'!C26,"jj/mm/aaaa"),IF('MATRICE ML36 VIERGE'!C27&lt;&gt;"",TEXT('MATRICE ML36 VIERGE'!C27,"jj/mm/aaaa"),IF('MATRICE ML37 VIERGE'!C25&lt;&gt;"",TEXT('MATRICE ML37 VIERGE'!C25,"jj/mm/aaaa"),IF('MATRICE ML37 VIERGE'!C26&lt;&gt;"",TEXT('MATRICE ML37 VIERGE'!C26,"jj/mm/aaaa"),""))))</f>
        <v/>
      </c>
      <c r="D27" s="272" t="str">
        <f>IF(AND(B27="",C27=""),"",IF(OR(COUNTIF('MATRICE ML36 VIERGE'!A21,"*Maladie*")&gt;0,COUNTIF('MATRICE ML36 VIERGE'!A26,"*Maladie*")&gt;0,COUNTIF('MATRICE ML36 VIERGE'!A31,"*Maladie*")&gt;0,COUNTIF('MATRICE ML36 VIERGE'!A36,"*Maladie*")&gt;0,COUNTIF('MATRICE ML36 VIERGE'!A41,"*Maladie*")&gt;0,COUNTIF('MATRICE ML36 VIERGE'!A46,"*Maladie*")&gt;0,COUNTIF('MATRICE ML36 VIERGE'!A51,"*Maladie*")&gt;0,COUNTIF('MATRICE ML37 VIERGE'!A22,"*Maladie*")&gt;0,COUNTIF('MATRICE ML37 VIERGE'!A27,"*Maladie*")&gt;0,COUNTIF('MATRICE ML37 VIERGE'!A32,"*Maladie*")&gt;0,COUNTIF('MATRICE ML37 VIERGE'!A37,"*Maladie*")&gt;0,COUNTIF('MATRICE ML37 VIERGE'!A42,"*Maladie*")&gt;0,COUNTIF('MATRICE ML37 VIERGE'!A47,"*Maladie*")&gt;0,COUNTIF('MATRICE ML37 VIERGE'!A52,"*Maladie*")&gt;0),"Maladie",IF(OR('MATRICE ML36 VIERGE'!A21="CA",'MATRICE ML36 VIERGE'!A21="CA/JEM",'MATRICE ML36 VIERGE'!A26="CA",'MATRICE ML36 VIERGE'!A26="CA/JEM",'MATRICE ML36 VIERGE'!A31="CA",'MATRICE ML36 VIERGE'!A31="CA/JEM",'MATRICE ML36 VIERGE'!A36="CA",'MATRICE ML36 VIERGE'!A36="CA/JEM",'MATRICE ML36 VIERGE'!A41="CA",'MATRICE ML36 VIERGE'!A41="CA/JEM",'MATRICE ML36 VIERGE'!A46="CA",'MATRICE ML36 VIERGE'!A46="CA/JEM",'MATRICE ML36 VIERGE'!A51="CA",'MATRICE ML36 VIERGE'!A51="CA/JEM",'MATRICE ML37 VIERGE'!A22="CA",'MATRICE ML37 VIERGE'!A22="CA/JEM",'MATRICE ML37 VIERGE'!A27="CA",'MATRICE ML37 VIERGE'!A27="CA/JEM",'MATRICE ML37 VIERGE'!A32="CA",'MATRICE ML37 VIERGE'!A32="CA/JEM",'MATRICE ML37 VIERGE'!A37="CA",'MATRICE ML37 VIERGE'!A37="CA/JEM",'MATRICE ML37 VIERGE'!A42="CA",'MATRICE ML37 VIERGE'!A42="CA/JEM",'MATRICE ML37 VIERGE'!A47="CA",'MATRICE ML37 VIERGE'!A47="CA/JEM",'MATRICE ML37 VIERGE'!A52="CA",'MATRICE ML37 VIERGE'!A52="CA/JEM"),"Congés annuels",IF(OR(IFERROR('MATRICE ML36 VIERGE'!F76,"")&lt;&gt;"",IFERROR('MATRICE ML37 VIERGE'!F77,"")&lt;&gt;""),IF(IFERROR('MATRICE ML36 VIERGE'!F76,0)&lt;&gt;0,IFERROR('MATRICE ML36 VIERGE'!F76,0),IF(IFERROR('MATRICE ML37 VIERGE'!F77,0)&lt;&gt;0,IFERROR('MATRICE ML37 VIERGE'!F77,0),"Congés annuels")),""))))</f>
        <v/>
      </c>
      <c r="E27" s="324" t="str">
        <f>IF(AND(IFERROR('MATRICE ML36 VIERGE'!G76,"")="",IFERROR('MATRICE ML37 VIERGE'!G77,"")=""),"",IF(IFERROR('MATRICE ML36 VIERGE'!G76,0)&lt;&gt;0,IFERROR('MATRICE ML36 VIERGE'!G76,0),IF(IFERROR('MATRICE ML37 VIERGE'!G77,0)&lt;&gt;0,IFERROR('MATRICE ML37 VIERGE'!G77,0),"")))</f>
        <v/>
      </c>
      <c r="F27" s="325"/>
      <c r="G27" s="275"/>
      <c r="H27" s="265" t="str">
        <f>IF(OR(D27="",D27="Congés annuels",D27="Maladie"),"",IF('MATRICE ML36 VIERGE'!$D$8&lt;&gt;"",'MATRICE ML36 VIERGE'!$D$8,IF('MATRICE ML37 VIERGE'!$D$9&lt;&gt;"",'MATRICE ML37 VIERGE'!$D$9,"")))</f>
        <v/>
      </c>
      <c r="I27" s="218"/>
    </row>
    <row r="28" spans="1:9" x14ac:dyDescent="0.3">
      <c r="A28" s="218"/>
      <c r="B28" s="243" t="str">
        <f>IF('MATRICE ML36 VIERGE'!B31&lt;&gt;"",TEXT('MATRICE ML36 VIERGE'!B31,"jj/mm/aaaa"),IF('MATRICE ML36 VIERGE'!B32&lt;&gt;"",TEXT('MATRICE ML36 VIERGE'!B32,"jj/mm/aaaa"),IF('MATRICE ML37 VIERGE'!B30&lt;&gt;"",TEXT('MATRICE ML37 VIERGE'!B30,"jj/mm/aaaa"),IF('MATRICE ML37 VIERGE'!B31&lt;&gt;"",TEXT('MATRICE ML37 VIERGE'!B31,"jj/mm/aaaa"),""))))</f>
        <v/>
      </c>
      <c r="C28" s="269" t="str">
        <f>IF('MATRICE ML36 VIERGE'!C31&lt;&gt;"",TEXT('MATRICE ML36 VIERGE'!C31,"jj/mm/aaaa"),IF('MATRICE ML36 VIERGE'!C32&lt;&gt;"",TEXT('MATRICE ML36 VIERGE'!C32,"jj/mm/aaaa"),IF('MATRICE ML37 VIERGE'!C30&lt;&gt;"",TEXT('MATRICE ML37 VIERGE'!C30,"jj/mm/aaaa"),IF('MATRICE ML37 VIERGE'!C31&lt;&gt;"",TEXT('MATRICE ML37 VIERGE'!C31,"jj/mm/aaaa"),""))))</f>
        <v/>
      </c>
      <c r="D28" s="272" t="str">
        <f>IF(AND(B28="",C28=""),"",IF(OR(COUNTIF('MATRICE ML36 VIERGE'!A21,"*Maladie*")&gt;0,COUNTIF('MATRICE ML36 VIERGE'!A26,"*Maladie*")&gt;0,COUNTIF('MATRICE ML36 VIERGE'!A31,"*Maladie*")&gt;0,COUNTIF('MATRICE ML36 VIERGE'!A36,"*Maladie*")&gt;0,COUNTIF('MATRICE ML36 VIERGE'!A41,"*Maladie*")&gt;0,COUNTIF('MATRICE ML36 VIERGE'!A46,"*Maladie*")&gt;0,COUNTIF('MATRICE ML36 VIERGE'!A51,"*Maladie*")&gt;0,COUNTIF('MATRICE ML37 VIERGE'!A22,"*Maladie*")&gt;0,COUNTIF('MATRICE ML37 VIERGE'!A27,"*Maladie*")&gt;0,COUNTIF('MATRICE ML37 VIERGE'!A32,"*Maladie*")&gt;0,COUNTIF('MATRICE ML37 VIERGE'!A37,"*Maladie*")&gt;0,COUNTIF('MATRICE ML37 VIERGE'!A42,"*Maladie*")&gt;0,COUNTIF('MATRICE ML37 VIERGE'!A47,"*Maladie*")&gt;0,COUNTIF('MATRICE ML37 VIERGE'!A52,"*Maladie*")&gt;0),"Maladie",IF(OR('MATRICE ML36 VIERGE'!A21="CA",'MATRICE ML36 VIERGE'!A21="CA/JEM",'MATRICE ML36 VIERGE'!A26="CA",'MATRICE ML36 VIERGE'!A26="CA/JEM",'MATRICE ML36 VIERGE'!A31="CA",'MATRICE ML36 VIERGE'!A31="CA/JEM",'MATRICE ML36 VIERGE'!A36="CA",'MATRICE ML36 VIERGE'!A36="CA/JEM",'MATRICE ML36 VIERGE'!A41="CA",'MATRICE ML36 VIERGE'!A41="CA/JEM",'MATRICE ML36 VIERGE'!A46="CA",'MATRICE ML36 VIERGE'!A46="CA/JEM",'MATRICE ML36 VIERGE'!A51="CA",'MATRICE ML36 VIERGE'!A51="CA/JEM",'MATRICE ML37 VIERGE'!A22="CA",'MATRICE ML37 VIERGE'!A22="CA/JEM",'MATRICE ML37 VIERGE'!A27="CA",'MATRICE ML37 VIERGE'!A27="CA/JEM",'MATRICE ML37 VIERGE'!A32="CA",'MATRICE ML37 VIERGE'!A32="CA/JEM",'MATRICE ML37 VIERGE'!A37="CA",'MATRICE ML37 VIERGE'!A37="CA/JEM",'MATRICE ML37 VIERGE'!A42="CA",'MATRICE ML37 VIERGE'!A42="CA/JEM",'MATRICE ML37 VIERGE'!A47="CA",'MATRICE ML37 VIERGE'!A47="CA/JEM",'MATRICE ML37 VIERGE'!A52="CA",'MATRICE ML37 VIERGE'!A52="CA/JEM"),"Congés annuels",IF(OR(IFERROR('MATRICE ML36 VIERGE'!F77,"")&lt;&gt;"",IFERROR('MATRICE ML37 VIERGE'!F78,"")&lt;&gt;""),IF(IFERROR('MATRICE ML36 VIERGE'!F77,0)&lt;&gt;0,IFERROR('MATRICE ML36 VIERGE'!F77,0),IF(IFERROR('MATRICE ML37 VIERGE'!F78,0)&lt;&gt;0,IFERROR('MATRICE ML37 VIERGE'!F78,0),"Congés annuels")),""))))</f>
        <v/>
      </c>
      <c r="E28" s="324" t="str">
        <f>IF(AND(IFERROR('MATRICE ML36 VIERGE'!G77,"")="",IFERROR('MATRICE ML37 VIERGE'!G78,"")=""),"",IF(IFERROR('MATRICE ML36 VIERGE'!G77,0)&lt;&gt;0,IFERROR('MATRICE ML36 VIERGE'!G77,0),IF(IFERROR('MATRICE ML37 VIERGE'!G78,0)&lt;&gt;0,IFERROR('MATRICE ML37 VIERGE'!G78,0),"")))</f>
        <v/>
      </c>
      <c r="F28" s="325"/>
      <c r="G28" s="274"/>
      <c r="H28" s="265" t="str">
        <f>IF(OR(D28="",D28="Congés annuels",D28="Maladie"),"",IF('MATRICE ML36 VIERGE'!$D$8&lt;&gt;"",'MATRICE ML36 VIERGE'!$D$8,IF('MATRICE ML37 VIERGE'!$D$9&lt;&gt;"",'MATRICE ML37 VIERGE'!$D$9,"")))</f>
        <v/>
      </c>
      <c r="I28" s="218"/>
    </row>
    <row r="29" spans="1:9" x14ac:dyDescent="0.3">
      <c r="A29" s="218"/>
      <c r="B29" s="243" t="str">
        <f>IF('MATRICE ML36 VIERGE'!B36&lt;&gt;"",TEXT('MATRICE ML36 VIERGE'!B36,"jj/mm/aaaa"),IF('MATRICE ML36 VIERGE'!B37&lt;&gt;"",TEXT('MATRICE ML36 VIERGE'!B37,"jj/mm/aaaa"),IF('MATRICE ML37 VIERGE'!B35&lt;&gt;"",TEXT('MATRICE ML37 VIERGE'!B35,"jj/mm/aaaa"),IF('MATRICE ML37 VIERGE'!B36&lt;&gt;"",TEXT('MATRICE ML37 VIERGE'!B36,"jj/mm/aaaa"),""))))</f>
        <v/>
      </c>
      <c r="C29" s="269" t="str">
        <f>IF('MATRICE ML36 VIERGE'!C36&lt;&gt;"",TEXT('MATRICE ML36 VIERGE'!C36,"jj/mm/aaaa"),IF('MATRICE ML36 VIERGE'!C37&lt;&gt;"",TEXT('MATRICE ML36 VIERGE'!C37,"jj/mm/aaaa"),IF('MATRICE ML37 VIERGE'!C35&lt;&gt;"",TEXT('MATRICE ML37 VIERGE'!C35,"jj/mm/aaaa"),IF('MATRICE ML37 VIERGE'!C36&lt;&gt;"",TEXT('MATRICE ML37 VIERGE'!C36,"jj/mm/aaaa"),""))))</f>
        <v/>
      </c>
      <c r="D29" s="272" t="str">
        <f>IF(AND(B29="",C29=""),"",IF(OR(COUNTIF('MATRICE ML36 VIERGE'!A21,"*Maladie*")&gt;0,COUNTIF('MATRICE ML36 VIERGE'!A26,"*Maladie*")&gt;0,COUNTIF('MATRICE ML36 VIERGE'!A31,"*Maladie*")&gt;0,COUNTIF('MATRICE ML36 VIERGE'!A36,"*Maladie*")&gt;0,COUNTIF('MATRICE ML36 VIERGE'!A41,"*Maladie*")&gt;0,COUNTIF('MATRICE ML36 VIERGE'!A46,"*Maladie*")&gt;0,COUNTIF('MATRICE ML36 VIERGE'!A51,"*Maladie*")&gt;0,COUNTIF('MATRICE ML37 VIERGE'!A22,"*Maladie*")&gt;0,COUNTIF('MATRICE ML37 VIERGE'!A27,"*Maladie*")&gt;0,COUNTIF('MATRICE ML37 VIERGE'!A32,"*Maladie*")&gt;0,COUNTIF('MATRICE ML37 VIERGE'!A37,"*Maladie*")&gt;0,COUNTIF('MATRICE ML37 VIERGE'!A42,"*Maladie*")&gt;0,COUNTIF('MATRICE ML37 VIERGE'!A47,"*Maladie*")&gt;0,COUNTIF('MATRICE ML37 VIERGE'!A52,"*Maladie*")&gt;0),"Maladie",IF(OR('MATRICE ML36 VIERGE'!A21="CA",'MATRICE ML36 VIERGE'!A21="CA/JEM",'MATRICE ML36 VIERGE'!A26="CA",'MATRICE ML36 VIERGE'!A26="CA/JEM",'MATRICE ML36 VIERGE'!A31="CA",'MATRICE ML36 VIERGE'!A31="CA/JEM",'MATRICE ML36 VIERGE'!A36="CA",'MATRICE ML36 VIERGE'!A36="CA/JEM",'MATRICE ML36 VIERGE'!A41="CA",'MATRICE ML36 VIERGE'!A41="CA/JEM",'MATRICE ML36 VIERGE'!A46="CA",'MATRICE ML36 VIERGE'!A46="CA/JEM",'MATRICE ML36 VIERGE'!A51="CA",'MATRICE ML36 VIERGE'!A51="CA/JEM",'MATRICE ML37 VIERGE'!A22="CA",'MATRICE ML37 VIERGE'!A22="CA/JEM",'MATRICE ML37 VIERGE'!A27="CA",'MATRICE ML37 VIERGE'!A27="CA/JEM",'MATRICE ML37 VIERGE'!A32="CA",'MATRICE ML37 VIERGE'!A32="CA/JEM",'MATRICE ML37 VIERGE'!A37="CA",'MATRICE ML37 VIERGE'!A37="CA/JEM",'MATRICE ML37 VIERGE'!A42="CA",'MATRICE ML37 VIERGE'!A42="CA/JEM",'MATRICE ML37 VIERGE'!A47="CA",'MATRICE ML37 VIERGE'!A47="CA/JEM",'MATRICE ML37 VIERGE'!A52="CA",'MATRICE ML37 VIERGE'!A52="CA/JEM"),"Congés annuels",IF(OR(IFERROR('MATRICE ML36 VIERGE'!F78,"")&lt;&gt;"",IFERROR('MATRICE ML37 VIERGE'!F79,"")&lt;&gt;""),IF(IFERROR('MATRICE ML36 VIERGE'!F78,0)&lt;&gt;0,IFERROR('MATRICE ML36 VIERGE'!F78,0),IF(IFERROR('MATRICE ML37 VIERGE'!F79,0)&lt;&gt;0,IFERROR('MATRICE ML37 VIERGE'!F79,0),"Congés annuels")),""))))</f>
        <v/>
      </c>
      <c r="E29" s="324" t="str">
        <f>IF(AND(IFERROR('MATRICE ML36 VIERGE'!G78,"")="",IFERROR('MATRICE ML37 VIERGE'!G79,"")=""),"",IF(IFERROR('MATRICE ML36 VIERGE'!G78,0)&lt;&gt;0,IFERROR('MATRICE ML36 VIERGE'!G78,0),IF(IFERROR('MATRICE ML37 VIERGE'!G79,0)&lt;&gt;0,IFERROR('MATRICE ML37 VIERGE'!G79,0),"")))</f>
        <v/>
      </c>
      <c r="F29" s="325"/>
      <c r="G29" s="274"/>
      <c r="H29" s="265" t="str">
        <f>IF(OR(D29="",D29="Congés annuels",D29="Maladie"),"",IF('MATRICE ML36 VIERGE'!$D$8&lt;&gt;"",'MATRICE ML36 VIERGE'!$D$8,IF('MATRICE ML37 VIERGE'!$D$9&lt;&gt;"",'MATRICE ML37 VIERGE'!$D$9,"")))</f>
        <v/>
      </c>
      <c r="I29" s="218"/>
    </row>
    <row r="30" spans="1:9" x14ac:dyDescent="0.3">
      <c r="A30" s="218"/>
      <c r="B30" s="243" t="str">
        <f>IF('MATRICE ML36 VIERGE'!B41&lt;&gt;"",TEXT('MATRICE ML36 VIERGE'!B41,"jj/mm/aaaa"),IF('MATRICE ML36 VIERGE'!B42&lt;&gt;"",TEXT('MATRICE ML36 VIERGE'!B42,"jj/mm/aaaa"),IF('MATRICE ML37 VIERGE'!B40&lt;&gt;"",TEXT('MATRICE ML37 VIERGE'!B40,"jj/mm/aaaa"),IF('MATRICE ML37 VIERGE'!B41&lt;&gt;"",TEXT('MATRICE ML37 VIERGE'!B41,"jj/mm/aaaa"),""))))</f>
        <v/>
      </c>
      <c r="C30" s="269" t="str">
        <f>IF('MATRICE ML36 VIERGE'!C41&lt;&gt;"",TEXT('MATRICE ML36 VIERGE'!C41,"jj/mm/aaaa"),IF('MATRICE ML36 VIERGE'!C42&lt;&gt;"",TEXT('MATRICE ML36 VIERGE'!C42,"jj/mm/aaaa"),IF('MATRICE ML37 VIERGE'!C40&lt;&gt;"",TEXT('MATRICE ML37 VIERGE'!C40,"jj/mm/aaaa"),IF('MATRICE ML37 VIERGE'!C41&lt;&gt;"",TEXT('MATRICE ML37 VIERGE'!C41,"jj/mm/aaaa"),""))))</f>
        <v/>
      </c>
      <c r="D30" s="272" t="str">
        <f>IF(AND(B30="",C30=""),"",IF(OR(COUNTIF('MATRICE ML36 VIERGE'!A21,"*Maladie*")&gt;0,COUNTIF('MATRICE ML36 VIERGE'!A26,"*Maladie*")&gt;0,COUNTIF('MATRICE ML36 VIERGE'!A31,"*Maladie*")&gt;0,COUNTIF('MATRICE ML36 VIERGE'!A36,"*Maladie*")&gt;0,COUNTIF('MATRICE ML36 VIERGE'!A41,"*Maladie*")&gt;0,COUNTIF('MATRICE ML36 VIERGE'!A46,"*Maladie*")&gt;0,COUNTIF('MATRICE ML36 VIERGE'!A51,"*Maladie*")&gt;0,COUNTIF('MATRICE ML37 VIERGE'!A22,"*Maladie*")&gt;0,COUNTIF('MATRICE ML37 VIERGE'!A27,"*Maladie*")&gt;0,COUNTIF('MATRICE ML37 VIERGE'!A32,"*Maladie*")&gt;0,COUNTIF('MATRICE ML37 VIERGE'!A37,"*Maladie*")&gt;0,COUNTIF('MATRICE ML37 VIERGE'!A42,"*Maladie*")&gt;0,COUNTIF('MATRICE ML37 VIERGE'!A47,"*Maladie*")&gt;0,COUNTIF('MATRICE ML37 VIERGE'!A52,"*Maladie*")&gt;0),"Maladie",IF(OR('MATRICE ML36 VIERGE'!A21="CA",'MATRICE ML36 VIERGE'!A21="CA/JEM",'MATRICE ML36 VIERGE'!A26="CA",'MATRICE ML36 VIERGE'!A26="CA/JEM",'MATRICE ML36 VIERGE'!A31="CA",'MATRICE ML36 VIERGE'!A31="CA/JEM",'MATRICE ML36 VIERGE'!A36="CA",'MATRICE ML36 VIERGE'!A36="CA/JEM",'MATRICE ML36 VIERGE'!A41="CA",'MATRICE ML36 VIERGE'!A41="CA/JEM",'MATRICE ML36 VIERGE'!A46="CA",'MATRICE ML36 VIERGE'!A46="CA/JEM",'MATRICE ML36 VIERGE'!A51="CA",'MATRICE ML36 VIERGE'!A51="CA/JEM",'MATRICE ML37 VIERGE'!A22="CA",'MATRICE ML37 VIERGE'!A22="CA/JEM",'MATRICE ML37 VIERGE'!A27="CA",'MATRICE ML37 VIERGE'!A27="CA/JEM",'MATRICE ML37 VIERGE'!A32="CA",'MATRICE ML37 VIERGE'!A32="CA/JEM",'MATRICE ML37 VIERGE'!A37="CA",'MATRICE ML37 VIERGE'!A37="CA/JEM",'MATRICE ML37 VIERGE'!A42="CA",'MATRICE ML37 VIERGE'!A42="CA/JEM",'MATRICE ML37 VIERGE'!A47="CA",'MATRICE ML37 VIERGE'!A47="CA/JEM",'MATRICE ML37 VIERGE'!A52="CA",'MATRICE ML37 VIERGE'!A52="CA/JEM"),"Congés annuels",IF(OR(IFERROR('MATRICE ML36 VIERGE'!F79,"")&lt;&gt;"",IFERROR('MATRICE ML37 VIERGE'!F80,"")&lt;&gt;""),IF(IFERROR('MATRICE ML36 VIERGE'!F79,0)&lt;&gt;0,IFERROR('MATRICE ML36 VIERGE'!F79,0),IF(IFERROR('MATRICE ML37 VIERGE'!F80,0)&lt;&gt;0,IFERROR('MATRICE ML37 VIERGE'!F80,0),"Congés annuels")),""))))</f>
        <v/>
      </c>
      <c r="E30" s="324" t="str">
        <f>IF(AND(IFERROR('MATRICE ML36 VIERGE'!G79,"")="",IFERROR('MATRICE ML37 VIERGE'!G80,"")=""),"",IF(IFERROR('MATRICE ML36 VIERGE'!G79,0)&lt;&gt;0,IFERROR('MATRICE ML36 VIERGE'!G79,0),IF(IFERROR('MATRICE ML37 VIERGE'!G80,0)&lt;&gt;0,IFERROR('MATRICE ML37 VIERGE'!G80,0),"")))</f>
        <v/>
      </c>
      <c r="F30" s="325"/>
      <c r="G30" s="274"/>
      <c r="H30" s="265" t="str">
        <f>IF(OR(D30="",D30="Congés annuels",D30="Maladie"),"",IF('MATRICE ML36 VIERGE'!$D$8&lt;&gt;"",'MATRICE ML36 VIERGE'!$D$8,IF('MATRICE ML37 VIERGE'!$D$9&lt;&gt;"",'MATRICE ML37 VIERGE'!$D$9,"")))</f>
        <v/>
      </c>
      <c r="I30" s="218"/>
    </row>
    <row r="31" spans="1:9" x14ac:dyDescent="0.3">
      <c r="A31" s="218"/>
      <c r="B31" s="243" t="str">
        <f>IF('MATRICE ML36 VIERGE'!B46&lt;&gt;"",TEXT('MATRICE ML36 VIERGE'!B46,"jj/mm/aaaa"),IF('MATRICE ML36 VIERGE'!B47&lt;&gt;"",TEXT('MATRICE ML36 VIERGE'!B47,"jj/mm/aaaa"),IF('MATRICE ML37 VIERGE'!B45&lt;&gt;"",TEXT('MATRICE ML37 VIERGE'!B45,"jj/mm/aaaa"),IF('MATRICE ML37 VIERGE'!B46&lt;&gt;"",TEXT('MATRICE ML37 VIERGE'!B46,"jj/mm/aaaa"),""))))</f>
        <v/>
      </c>
      <c r="C31" s="269" t="str">
        <f>IF('MATRICE ML36 VIERGE'!C46&lt;&gt;"",TEXT('MATRICE ML36 VIERGE'!C46,"jj/mm/aaaa"),IF('MATRICE ML36 VIERGE'!C47&lt;&gt;"",TEXT('MATRICE ML36 VIERGE'!C47,"jj/mm/aaaa"),IF('MATRICE ML37 VIERGE'!C45&lt;&gt;"",TEXT('MATRICE ML37 VIERGE'!C45,"jj/mm/aaaa"),IF('MATRICE ML37 VIERGE'!C46&lt;&gt;"",TEXT('MATRICE ML37 VIERGE'!C46,"jj/mm/aaaa"),""))))</f>
        <v/>
      </c>
      <c r="D31" s="272" t="str">
        <f>IF(AND(B31="",C31=""),"",IF(OR(COUNTIF('MATRICE ML36 VIERGE'!A21,"*Maladie*")&gt;0,COUNTIF('MATRICE ML36 VIERGE'!A26,"*Maladie*")&gt;0,COUNTIF('MATRICE ML36 VIERGE'!A31,"*Maladie*")&gt;0,COUNTIF('MATRICE ML36 VIERGE'!A36,"*Maladie*")&gt;0,COUNTIF('MATRICE ML36 VIERGE'!A41,"*Maladie*")&gt;0,COUNTIF('MATRICE ML36 VIERGE'!A46,"*Maladie*")&gt;0,COUNTIF('MATRICE ML36 VIERGE'!A51,"*Maladie*")&gt;0,COUNTIF('MATRICE ML37 VIERGE'!A22,"*Maladie*")&gt;0,COUNTIF('MATRICE ML37 VIERGE'!A27,"*Maladie*")&gt;0,COUNTIF('MATRICE ML37 VIERGE'!A32,"*Maladie*")&gt;0,COUNTIF('MATRICE ML37 VIERGE'!A37,"*Maladie*")&gt;0,COUNTIF('MATRICE ML37 VIERGE'!A42,"*Maladie*")&gt;0,COUNTIF('MATRICE ML37 VIERGE'!A47,"*Maladie*")&gt;0,COUNTIF('MATRICE ML37 VIERGE'!A52,"*Maladie*")&gt;0),"Maladie",IF(OR('MATRICE ML36 VIERGE'!A21="CA",'MATRICE ML36 VIERGE'!A21="CA/JEM",'MATRICE ML36 VIERGE'!A26="CA",'MATRICE ML36 VIERGE'!A26="CA/JEM",'MATRICE ML36 VIERGE'!A31="CA",'MATRICE ML36 VIERGE'!A31="CA/JEM",'MATRICE ML36 VIERGE'!A36="CA",'MATRICE ML36 VIERGE'!A36="CA/JEM",'MATRICE ML36 VIERGE'!A41="CA",'MATRICE ML36 VIERGE'!A41="CA/JEM",'MATRICE ML36 VIERGE'!A46="CA",'MATRICE ML36 VIERGE'!A46="CA/JEM",'MATRICE ML36 VIERGE'!A51="CA",'MATRICE ML36 VIERGE'!A51="CA/JEM",'MATRICE ML37 VIERGE'!A22="CA",'MATRICE ML37 VIERGE'!A22="CA/JEM",'MATRICE ML37 VIERGE'!A27="CA",'MATRICE ML37 VIERGE'!A27="CA/JEM",'MATRICE ML37 VIERGE'!A32="CA",'MATRICE ML37 VIERGE'!A32="CA/JEM",'MATRICE ML37 VIERGE'!A37="CA",'MATRICE ML37 VIERGE'!A37="CA/JEM",'MATRICE ML37 VIERGE'!A42="CA",'MATRICE ML37 VIERGE'!A42="CA/JEM",'MATRICE ML37 VIERGE'!A47="CA",'MATRICE ML37 VIERGE'!A47="CA/JEM",'MATRICE ML37 VIERGE'!A52="CA",'MATRICE ML37 VIERGE'!A52="CA/JEM"),"Congés annuels",IF(OR(IFERROR('MATRICE ML36 VIERGE'!F80,"")&lt;&gt;"",IFERROR('MATRICE ML37 VIERGE'!F81,"")&lt;&gt;""),IF(IFERROR('MATRICE ML36 VIERGE'!F80,0)&lt;&gt;0,IFERROR('MATRICE ML36 VIERGE'!F80,0),IF(IFERROR('MATRICE ML37 VIERGE'!F81,0)&lt;&gt;0,IFERROR('MATRICE ML37 VIERGE'!F81,0),"Congés annuels")),""))))</f>
        <v/>
      </c>
      <c r="E31" s="324" t="str">
        <f>IF(AND(IFERROR('MATRICE ML36 VIERGE'!G80,"")="",IFERROR('MATRICE ML37 VIERGE'!G81,"")=""),"",IF(IFERROR('MATRICE ML36 VIERGE'!G80,0)&lt;&gt;0,IFERROR('MATRICE ML36 VIERGE'!G80,0),IF(IFERROR('MATRICE ML37 VIERGE'!G81,0)&lt;&gt;0,IFERROR('MATRICE ML37 VIERGE'!G81,0),"")))</f>
        <v/>
      </c>
      <c r="F31" s="325"/>
      <c r="G31" s="274"/>
      <c r="H31" s="265" t="str">
        <f>IF(OR(D31="",D31="Congés annuels",D31="Maladie"),"",IF('MATRICE ML36 VIERGE'!$D$8&lt;&gt;"",'MATRICE ML36 VIERGE'!$D$8,IF('MATRICE ML37 VIERGE'!$D$9&lt;&gt;"",'MATRICE ML37 VIERGE'!$D$9,"")))</f>
        <v/>
      </c>
      <c r="I31" s="218"/>
    </row>
    <row r="32" spans="1:9" ht="15" thickBot="1" x14ac:dyDescent="0.35">
      <c r="A32" s="218"/>
      <c r="B32" s="244" t="str">
        <f>IF('MATRICE ML36 VIERGE'!B51&lt;&gt;"",TEXT('MATRICE ML36 VIERGE'!B51,"jj/mm/aaaa"),IF('MATRICE ML36 VIERGE'!B52&lt;&gt;"",TEXT('MATRICE ML36 VIERGE'!B52,"jj/mm/aaaa"),IF('MATRICE ML37 VIERGE'!B50&lt;&gt;"",TEXT('MATRICE ML37 VIERGE'!B50,"jj/mm/aaaa"),IF('MATRICE ML37 VIERGE'!B51&lt;&gt;"",TEXT('MATRICE ML37 VIERGE'!B51,"jj/mm/aaaa"),""))))</f>
        <v/>
      </c>
      <c r="C32" s="270" t="str">
        <f>IF('MATRICE ML36 VIERGE'!C51&lt;&gt;"",TEXT('MATRICE ML36 VIERGE'!C51,"jj/mm/aaaa"),IF('MATRICE ML36 VIERGE'!C52&lt;&gt;"",TEXT('MATRICE ML36 VIERGE'!C52,"jj/mm/aaaa"),IF('MATRICE ML37 VIERGE'!C50&lt;&gt;"",TEXT('MATRICE ML37 VIERGE'!C50,"jj/mm/aaaa"),IF('MATRICE ML37 VIERGE'!C51&lt;&gt;"",TEXT('MATRICE ML37 VIERGE'!C51,"jj/mm/aaaa"),""))))</f>
        <v/>
      </c>
      <c r="D32" s="273" t="str">
        <f>IF(AND(B32="",C32=""),"",IF(OR(COUNTIF('MATRICE ML36 VIERGE'!A21,"*Maladie*")&gt;0,COUNTIF('MATRICE ML36 VIERGE'!A26,"*Maladie*")&gt;0,COUNTIF('MATRICE ML36 VIERGE'!A31,"*Maladie*")&gt;0,COUNTIF('MATRICE ML36 VIERGE'!A36,"*Maladie*")&gt;0,COUNTIF('MATRICE ML36 VIERGE'!A41,"*Maladie*")&gt;0,COUNTIF('MATRICE ML36 VIERGE'!A46,"*Maladie*")&gt;0,COUNTIF('MATRICE ML36 VIERGE'!A51,"*Maladie*")&gt;0,COUNTIF('MATRICE ML37 VIERGE'!A22,"*Maladie*")&gt;0,COUNTIF('MATRICE ML37 VIERGE'!A27,"*Maladie*")&gt;0,COUNTIF('MATRICE ML37 VIERGE'!A32,"*Maladie*")&gt;0,COUNTIF('MATRICE ML37 VIERGE'!A37,"*Maladie*")&gt;0,COUNTIF('MATRICE ML37 VIERGE'!A42,"*Maladie*")&gt;0,COUNTIF('MATRICE ML37 VIERGE'!A47,"*Maladie*")&gt;0,COUNTIF('MATRICE ML37 VIERGE'!A52,"*Maladie*")&gt;0),"Maladie",IF(OR('MATRICE ML36 VIERGE'!A21="CA",'MATRICE ML36 VIERGE'!A21="CA/JEM",'MATRICE ML36 VIERGE'!A26="CA",'MATRICE ML36 VIERGE'!A26="CA/JEM",'MATRICE ML36 VIERGE'!A31="CA",'MATRICE ML36 VIERGE'!A31="CA/JEM",'MATRICE ML36 VIERGE'!A36="CA",'MATRICE ML36 VIERGE'!A36="CA/JEM",'MATRICE ML36 VIERGE'!A41="CA",'MATRICE ML36 VIERGE'!A41="CA/JEM",'MATRICE ML36 VIERGE'!A46="CA",'MATRICE ML36 VIERGE'!A46="CA/JEM",'MATRICE ML36 VIERGE'!A51="CA",'MATRICE ML36 VIERGE'!A51="CA/JEM",'MATRICE ML37 VIERGE'!A22="CA",'MATRICE ML37 VIERGE'!A22="CA/JEM",'MATRICE ML37 VIERGE'!A27="CA",'MATRICE ML37 VIERGE'!A27="CA/JEM",'MATRICE ML37 VIERGE'!A32="CA",'MATRICE ML37 VIERGE'!A32="CA/JEM",'MATRICE ML37 VIERGE'!A37="CA",'MATRICE ML37 VIERGE'!A37="CA/JEM",'MATRICE ML37 VIERGE'!A42="CA",'MATRICE ML37 VIERGE'!A42="CA/JEM",'MATRICE ML37 VIERGE'!A47="CA",'MATRICE ML37 VIERGE'!A47="CA/JEM",'MATRICE ML37 VIERGE'!A52="CA",'MATRICE ML37 VIERGE'!A52="CA/JEM"),"Congés annuels",IF(OR(IFERROR('MATRICE ML36 VIERGE'!F81,"")&lt;&gt;"",IFERROR('MATRICE ML37 VIERGE'!F82,"")&lt;&gt;""),IF(IFERROR('MATRICE ML36 VIERGE'!F81,0)&lt;&gt;0,IFERROR('MATRICE ML36 VIERGE'!F81,0),IF(IFERROR('MATRICE ML37 VIERGE'!F82,0)&lt;&gt;0,IFERROR('MATRICE ML37 VIERGE'!F82,0),"Congés annuels")),""))))</f>
        <v/>
      </c>
      <c r="E32" s="334" t="str">
        <f>IF(AND(IFERROR('MATRICE ML36 VIERGE'!G81,"")="",IFERROR('MATRICE ML37 VIERGE'!G82,"")=""),"",IF(IFERROR('MATRICE ML36 VIERGE'!G81,0)&lt;&gt;0,IFERROR('MATRICE ML36 VIERGE'!G81,0),IF(IFERROR('MATRICE ML37 VIERGE'!G82,0)&lt;&gt;0,IFERROR('MATRICE ML37 VIERGE'!G82,0),"")))</f>
        <v/>
      </c>
      <c r="F32" s="335"/>
      <c r="G32" s="276"/>
      <c r="H32" s="266" t="str">
        <f>IF(OR(D32="",D32="Congés annuels",D32="Maladie"),"",IF('MATRICE ML36 VIERGE'!$D$8&lt;&gt;"",'MATRICE ML36 VIERGE'!$D$8,IF('MATRICE ML37 VIERGE'!$D$9&lt;&gt;"",'MATRICE ML37 VIERGE'!$D$9,"")))</f>
        <v/>
      </c>
      <c r="I32" s="218"/>
    </row>
    <row r="33" spans="1:9" x14ac:dyDescent="0.3">
      <c r="A33" s="218"/>
      <c r="B33" s="218"/>
      <c r="C33" s="218"/>
      <c r="D33" s="218"/>
      <c r="E33" s="218"/>
      <c r="F33" s="218"/>
      <c r="G33" s="218"/>
      <c r="H33" s="218"/>
      <c r="I33" s="218"/>
    </row>
    <row r="34" spans="1:9" x14ac:dyDescent="0.3">
      <c r="A34" s="218"/>
      <c r="B34" s="245" t="s">
        <v>122</v>
      </c>
      <c r="C34" s="336" t="s">
        <v>123</v>
      </c>
      <c r="D34" s="336"/>
      <c r="E34" s="336"/>
      <c r="F34" s="336"/>
      <c r="G34" s="336"/>
      <c r="H34" s="336"/>
      <c r="I34" s="218"/>
    </row>
    <row r="35" spans="1:9" x14ac:dyDescent="0.3">
      <c r="A35" s="218"/>
      <c r="B35" s="245" t="s">
        <v>124</v>
      </c>
      <c r="C35" s="336" t="s">
        <v>125</v>
      </c>
      <c r="D35" s="336"/>
      <c r="E35" s="336"/>
      <c r="F35" s="336"/>
      <c r="G35" s="336"/>
      <c r="H35" s="336"/>
      <c r="I35" s="218"/>
    </row>
    <row r="36" spans="1:9" x14ac:dyDescent="0.3">
      <c r="A36" s="218"/>
      <c r="B36" s="246" t="s">
        <v>126</v>
      </c>
      <c r="C36" s="337" t="s">
        <v>127</v>
      </c>
      <c r="D36" s="338"/>
      <c r="E36" s="247"/>
      <c r="F36" s="339" t="s">
        <v>128</v>
      </c>
      <c r="G36" s="340"/>
      <c r="H36" s="341"/>
      <c r="I36" s="218"/>
    </row>
    <row r="37" spans="1:9" x14ac:dyDescent="0.3">
      <c r="A37" s="218"/>
      <c r="B37" s="246"/>
      <c r="C37" s="218"/>
      <c r="D37" s="218"/>
      <c r="E37" s="248"/>
      <c r="F37" s="342"/>
      <c r="G37" s="343"/>
      <c r="H37" s="344"/>
      <c r="I37" s="218"/>
    </row>
    <row r="38" spans="1:9" x14ac:dyDescent="0.3">
      <c r="A38" s="218"/>
      <c r="B38" s="246" t="s">
        <v>129</v>
      </c>
      <c r="C38" s="345">
        <f ca="1">NOW()</f>
        <v>46205.409363078703</v>
      </c>
      <c r="D38" s="338"/>
      <c r="E38" s="247"/>
      <c r="F38" s="346"/>
      <c r="G38" s="347"/>
      <c r="H38" s="348"/>
      <c r="I38" s="218"/>
    </row>
    <row r="39" spans="1:9" x14ac:dyDescent="0.3">
      <c r="A39" s="218"/>
      <c r="B39" s="246"/>
      <c r="C39" s="218"/>
      <c r="D39" s="218"/>
      <c r="E39" s="218"/>
      <c r="F39" s="349"/>
      <c r="G39" s="350"/>
      <c r="H39" s="351"/>
      <c r="I39" s="218"/>
    </row>
    <row r="40" spans="1:9" x14ac:dyDescent="0.3">
      <c r="A40" s="218"/>
      <c r="B40" s="246" t="s">
        <v>130</v>
      </c>
      <c r="C40" s="355"/>
      <c r="D40" s="356"/>
      <c r="E40" s="249"/>
      <c r="F40" s="349"/>
      <c r="G40" s="350"/>
      <c r="H40" s="351"/>
      <c r="I40" s="218"/>
    </row>
    <row r="41" spans="1:9" x14ac:dyDescent="0.3">
      <c r="A41" s="218"/>
      <c r="B41" s="246"/>
      <c r="C41" s="218"/>
      <c r="D41" s="218"/>
      <c r="E41" s="218"/>
      <c r="F41" s="349"/>
      <c r="G41" s="350"/>
      <c r="H41" s="351"/>
      <c r="I41" s="218"/>
    </row>
    <row r="42" spans="1:9" x14ac:dyDescent="0.3">
      <c r="A42" s="218"/>
      <c r="B42" s="246" t="s">
        <v>131</v>
      </c>
      <c r="C42" s="357"/>
      <c r="D42" s="358"/>
      <c r="E42" s="250"/>
      <c r="F42" s="349"/>
      <c r="G42" s="350"/>
      <c r="H42" s="351"/>
      <c r="I42" s="218"/>
    </row>
    <row r="43" spans="1:9" x14ac:dyDescent="0.3">
      <c r="A43" s="218"/>
      <c r="B43" s="246"/>
      <c r="C43" s="218"/>
      <c r="D43" s="218"/>
      <c r="E43" s="218"/>
      <c r="F43" s="349"/>
      <c r="G43" s="350"/>
      <c r="H43" s="351"/>
      <c r="I43" s="218"/>
    </row>
    <row r="44" spans="1:9" x14ac:dyDescent="0.3">
      <c r="A44" s="218"/>
      <c r="B44" s="246" t="s">
        <v>132</v>
      </c>
      <c r="C44" s="359" t="s">
        <v>133</v>
      </c>
      <c r="D44" s="338"/>
      <c r="E44" s="249"/>
      <c r="F44" s="352"/>
      <c r="G44" s="353"/>
      <c r="H44" s="354"/>
      <c r="I44" s="218"/>
    </row>
    <row r="45" spans="1:9" x14ac:dyDescent="0.3">
      <c r="A45" s="218"/>
      <c r="B45" s="218"/>
      <c r="C45" s="218"/>
      <c r="D45" s="218"/>
      <c r="E45" s="218"/>
      <c r="F45" s="218"/>
      <c r="G45" s="218"/>
      <c r="H45" s="218"/>
      <c r="I45" s="218"/>
    </row>
    <row r="46" spans="1:9" x14ac:dyDescent="0.3">
      <c r="A46" s="218"/>
      <c r="B46" s="251" t="s">
        <v>134</v>
      </c>
      <c r="C46" s="252"/>
      <c r="D46" s="252"/>
      <c r="E46" s="252"/>
      <c r="F46" s="252"/>
      <c r="G46" s="252"/>
      <c r="H46" s="253"/>
      <c r="I46" s="218"/>
    </row>
    <row r="47" spans="1:9" x14ac:dyDescent="0.3">
      <c r="A47" s="218"/>
      <c r="B47" s="254" t="s">
        <v>135</v>
      </c>
      <c r="C47" s="255"/>
      <c r="D47" s="255"/>
      <c r="E47" s="255"/>
      <c r="F47" s="255"/>
      <c r="G47" s="255"/>
      <c r="H47" s="256"/>
      <c r="I47" s="255"/>
    </row>
    <row r="48" spans="1:9" x14ac:dyDescent="0.3">
      <c r="A48" s="218"/>
      <c r="B48" s="254" t="s">
        <v>136</v>
      </c>
      <c r="C48" s="255"/>
      <c r="D48" s="255"/>
      <c r="E48" s="255"/>
      <c r="F48" s="255"/>
      <c r="G48" s="255"/>
      <c r="H48" s="256"/>
      <c r="I48" s="255"/>
    </row>
    <row r="49" spans="1:9" x14ac:dyDescent="0.3">
      <c r="A49" s="218"/>
      <c r="B49" s="330" t="s">
        <v>137</v>
      </c>
      <c r="C49" s="331"/>
      <c r="D49" s="331"/>
      <c r="E49" s="331"/>
      <c r="F49" s="331"/>
      <c r="G49" s="331"/>
      <c r="H49" s="332"/>
      <c r="I49" s="257"/>
    </row>
    <row r="50" spans="1:9" x14ac:dyDescent="0.3">
      <c r="A50" s="218"/>
      <c r="B50" s="258"/>
      <c r="C50" s="218"/>
      <c r="D50" s="218"/>
      <c r="E50" s="218"/>
      <c r="F50" s="218"/>
      <c r="G50" s="218"/>
      <c r="H50" s="218"/>
      <c r="I50" s="218"/>
    </row>
    <row r="51" spans="1:9" x14ac:dyDescent="0.3">
      <c r="A51" s="246"/>
      <c r="B51" s="259" t="s">
        <v>138</v>
      </c>
      <c r="C51" s="260"/>
      <c r="D51" s="260"/>
      <c r="E51" s="260"/>
      <c r="F51" s="260"/>
      <c r="G51" s="260"/>
      <c r="H51" s="260"/>
      <c r="I51" s="260"/>
    </row>
    <row r="52" spans="1:9" x14ac:dyDescent="0.3">
      <c r="A52" s="246"/>
      <c r="B52" s="259"/>
      <c r="C52" s="260"/>
      <c r="D52" s="260"/>
      <c r="E52" s="260"/>
      <c r="F52" s="260"/>
      <c r="G52" s="260"/>
      <c r="H52" s="260"/>
      <c r="I52" s="260"/>
    </row>
    <row r="53" spans="1:9" x14ac:dyDescent="0.3">
      <c r="A53" s="246"/>
      <c r="B53" s="333" t="s">
        <v>139</v>
      </c>
      <c r="C53" s="333"/>
      <c r="D53" s="333"/>
      <c r="E53" s="333"/>
      <c r="F53" s="333"/>
      <c r="G53" s="333"/>
      <c r="H53" s="333"/>
      <c r="I53" s="261"/>
    </row>
    <row r="54" spans="1:9" x14ac:dyDescent="0.3">
      <c r="A54" s="246"/>
      <c r="B54" s="333" t="s">
        <v>140</v>
      </c>
      <c r="C54" s="333"/>
      <c r="D54" s="333"/>
      <c r="E54" s="333"/>
      <c r="F54" s="333"/>
      <c r="G54" s="333"/>
      <c r="H54" s="333"/>
      <c r="I54" s="261"/>
    </row>
    <row r="55" spans="1:9" x14ac:dyDescent="0.3">
      <c r="A55" s="218"/>
      <c r="B55" s="333"/>
      <c r="C55" s="333"/>
      <c r="D55" s="333"/>
      <c r="E55" s="333"/>
      <c r="F55" s="333"/>
      <c r="G55" s="333"/>
      <c r="H55" s="333"/>
      <c r="I55" s="262"/>
    </row>
    <row r="56" spans="1:9" x14ac:dyDescent="0.3">
      <c r="A56" s="218"/>
      <c r="B56" s="218"/>
      <c r="C56" s="218"/>
      <c r="D56" s="218"/>
      <c r="E56" s="218"/>
      <c r="F56" s="218"/>
      <c r="G56" s="218"/>
      <c r="H56" s="263"/>
      <c r="I56" s="218"/>
    </row>
    <row r="57" spans="1:9" x14ac:dyDescent="0.3">
      <c r="A57" s="218"/>
      <c r="B57" s="218"/>
      <c r="C57" s="218"/>
      <c r="D57" s="218"/>
      <c r="E57" s="218"/>
      <c r="F57" s="218"/>
      <c r="G57" s="218"/>
      <c r="H57" s="218"/>
      <c r="I57" s="218"/>
    </row>
  </sheetData>
  <sheetProtection algorithmName="SHA-512" hashValue="Bl26QsiPRbQugrIioYRoAxyOSSJRCiwP07n2i/vvzKEkg6ZrGjZj2KOfqP7kF2XqumLv27km5lqInVkJ94V7VA==" saltValue="Rebm4IVrb16W2cfdXkxJzA==" spinCount="100000" sheet="1" objects="1" scenarios="1"/>
  <mergeCells count="33">
    <mergeCell ref="B49:H49"/>
    <mergeCell ref="B53:H53"/>
    <mergeCell ref="B54:H54"/>
    <mergeCell ref="B55:H55"/>
    <mergeCell ref="E32:F32"/>
    <mergeCell ref="C34:H34"/>
    <mergeCell ref="C35:H35"/>
    <mergeCell ref="C36:D36"/>
    <mergeCell ref="F36:H37"/>
    <mergeCell ref="C38:D38"/>
    <mergeCell ref="F38:H44"/>
    <mergeCell ref="C40:D40"/>
    <mergeCell ref="C42:D42"/>
    <mergeCell ref="C44:D44"/>
    <mergeCell ref="E29:F29"/>
    <mergeCell ref="E30:F30"/>
    <mergeCell ref="E31:F31"/>
    <mergeCell ref="E27:F27"/>
    <mergeCell ref="E25:F25"/>
    <mergeCell ref="E26:F26"/>
    <mergeCell ref="E28:F28"/>
    <mergeCell ref="B3:H3"/>
    <mergeCell ref="B7:H7"/>
    <mergeCell ref="B9:H9"/>
    <mergeCell ref="D11:H11"/>
    <mergeCell ref="D13:H13"/>
    <mergeCell ref="D15:H15"/>
    <mergeCell ref="D17:H17"/>
    <mergeCell ref="D19:H19"/>
    <mergeCell ref="B23:C23"/>
    <mergeCell ref="B24:C24"/>
    <mergeCell ref="E24:F24"/>
    <mergeCell ref="H23:H25"/>
  </mergeCells>
  <hyperlinks>
    <hyperlink ref="C44" r:id="rId1" xr:uid="{647A2411-6F34-4B18-94B3-57D7A915DF3E}"/>
  </hyperlinks>
  <pageMargins left="0.11811023622047245" right="0.11811023622047245" top="0" bottom="0" header="0" footer="0"/>
  <pageSetup paperSize="9" scale="7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7" r:id="rId5" name="Check Box 11">
              <controlPr defaultSize="0" autoFill="0" autoLine="0" autoPict="0">
                <anchor moveWithCells="1">
                  <from>
                    <xdr:col>3</xdr:col>
                    <xdr:colOff>304800</xdr:colOff>
                    <xdr:row>3</xdr:row>
                    <xdr:rowOff>175260</xdr:rowOff>
                  </from>
                  <to>
                    <xdr:col>3</xdr:col>
                    <xdr:colOff>685800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6" name="Check Box 12">
              <controlPr defaultSize="0" autoFill="0" autoLine="0" autoPict="0">
                <anchor moveWithCells="1">
                  <from>
                    <xdr:col>7</xdr:col>
                    <xdr:colOff>289560</xdr:colOff>
                    <xdr:row>4</xdr:row>
                    <xdr:rowOff>0</xdr:rowOff>
                  </from>
                  <to>
                    <xdr:col>7</xdr:col>
                    <xdr:colOff>678180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7" name="Check Box 13">
              <controlPr defaultSize="0" autoFill="0" autoLine="0" autoPict="0">
                <anchor moveWithCells="1">
                  <from>
                    <xdr:col>3</xdr:col>
                    <xdr:colOff>60960</xdr:colOff>
                    <xdr:row>19</xdr:row>
                    <xdr:rowOff>228600</xdr:rowOff>
                  </from>
                  <to>
                    <xdr:col>3</xdr:col>
                    <xdr:colOff>449580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8" name="Check Box 14">
              <controlPr defaultSize="0" autoFill="0" autoLine="0" autoPict="0">
                <anchor moveWithCells="1">
                  <from>
                    <xdr:col>4</xdr:col>
                    <xdr:colOff>144780</xdr:colOff>
                    <xdr:row>19</xdr:row>
                    <xdr:rowOff>213360</xdr:rowOff>
                  </from>
                  <to>
                    <xdr:col>5</xdr:col>
                    <xdr:colOff>175260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9" name="Check Box 15">
              <controlPr defaultSize="0" autoFill="0" autoLine="0" autoPict="0">
                <anchor moveWithCells="1">
                  <from>
                    <xdr:col>7</xdr:col>
                    <xdr:colOff>60960</xdr:colOff>
                    <xdr:row>19</xdr:row>
                    <xdr:rowOff>228600</xdr:rowOff>
                  </from>
                  <to>
                    <xdr:col>7</xdr:col>
                    <xdr:colOff>464820</xdr:colOff>
                    <xdr:row>21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EB01-5DAE-4D7A-B1EB-01ECE0AA4CA8}">
  <dimension ref="A1:H99"/>
  <sheetViews>
    <sheetView zoomScale="85" zoomScaleNormal="85" workbookViewId="0">
      <selection activeCell="B7" sqref="B7"/>
    </sheetView>
  </sheetViews>
  <sheetFormatPr baseColWidth="10" defaultColWidth="11.44140625" defaultRowHeight="14.4" x14ac:dyDescent="0.3"/>
  <sheetData>
    <row r="1" spans="1:8" ht="33.6" x14ac:dyDescent="0.65">
      <c r="A1" s="360" t="s">
        <v>141</v>
      </c>
      <c r="B1" s="360"/>
      <c r="C1" s="360"/>
      <c r="D1" s="360"/>
      <c r="E1" s="360"/>
      <c r="F1" s="360"/>
      <c r="G1" s="360"/>
      <c r="H1" s="360"/>
    </row>
    <row r="3" spans="1:8" ht="25.8" x14ac:dyDescent="0.5">
      <c r="A3" s="222" t="s">
        <v>142</v>
      </c>
      <c r="B3" s="219"/>
      <c r="C3" s="219"/>
      <c r="D3" s="219"/>
    </row>
    <row r="4" spans="1:8" ht="18" x14ac:dyDescent="0.35">
      <c r="A4" s="219"/>
      <c r="B4" s="219"/>
      <c r="C4" s="219"/>
      <c r="D4" s="219"/>
    </row>
    <row r="5" spans="1:8" ht="18" x14ac:dyDescent="0.35">
      <c r="A5" s="219"/>
      <c r="B5" s="220" t="s">
        <v>110</v>
      </c>
      <c r="C5" s="219"/>
      <c r="D5" s="219"/>
    </row>
    <row r="6" spans="1:8" ht="18" x14ac:dyDescent="0.35">
      <c r="A6" s="219"/>
      <c r="B6" s="220" t="s">
        <v>143</v>
      </c>
      <c r="C6" s="219"/>
      <c r="D6" s="219"/>
    </row>
    <row r="7" spans="1:8" ht="18" x14ac:dyDescent="0.35">
      <c r="A7" s="219"/>
      <c r="B7" s="220" t="s">
        <v>144</v>
      </c>
      <c r="C7" s="219"/>
      <c r="D7" s="219"/>
    </row>
    <row r="8" spans="1:8" ht="18" x14ac:dyDescent="0.35">
      <c r="A8" s="219"/>
      <c r="B8" s="221" t="s">
        <v>145</v>
      </c>
      <c r="C8" s="219"/>
      <c r="D8" s="219"/>
    </row>
    <row r="9" spans="1:8" ht="18" x14ac:dyDescent="0.35">
      <c r="A9" s="219"/>
      <c r="B9" s="220" t="s">
        <v>146</v>
      </c>
      <c r="C9" s="219"/>
      <c r="D9" s="219"/>
    </row>
    <row r="10" spans="1:8" ht="18" x14ac:dyDescent="0.35">
      <c r="A10" s="219"/>
      <c r="B10" s="219"/>
      <c r="C10" s="219"/>
      <c r="D10" s="219"/>
    </row>
    <row r="11" spans="1:8" ht="25.8" x14ac:dyDescent="0.5">
      <c r="A11" s="222" t="s">
        <v>147</v>
      </c>
      <c r="C11" s="219"/>
      <c r="D11" s="219"/>
    </row>
    <row r="12" spans="1:8" ht="18" x14ac:dyDescent="0.35">
      <c r="A12" s="219"/>
      <c r="B12" s="219"/>
      <c r="C12" s="219"/>
      <c r="D12" s="219"/>
    </row>
    <row r="14" spans="1:8" ht="18" x14ac:dyDescent="0.35">
      <c r="B14" s="220" t="s">
        <v>148</v>
      </c>
    </row>
    <row r="37" spans="2:2" ht="18" x14ac:dyDescent="0.35">
      <c r="B37" s="220" t="s">
        <v>149</v>
      </c>
    </row>
    <row r="61" spans="2:2" ht="18" x14ac:dyDescent="0.35">
      <c r="B61" s="220" t="s">
        <v>150</v>
      </c>
    </row>
    <row r="93" spans="2:2" ht="18" x14ac:dyDescent="0.35">
      <c r="B93" s="220" t="s">
        <v>151</v>
      </c>
    </row>
    <row r="99" spans="2:2" ht="18" x14ac:dyDescent="0.35">
      <c r="B99" s="220"/>
    </row>
  </sheetData>
  <mergeCells count="1">
    <mergeCell ref="A1:H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CC6472B56EE14C83B51036AB1C0615" ma:contentTypeVersion="18" ma:contentTypeDescription="Create a new document." ma:contentTypeScope="" ma:versionID="fc28deccb00580faedac3be0bea52b69">
  <xsd:schema xmlns:xsd="http://www.w3.org/2001/XMLSchema" xmlns:xs="http://www.w3.org/2001/XMLSchema" xmlns:p="http://schemas.microsoft.com/office/2006/metadata/properties" xmlns:ns2="8efd05e7-3e28-45e2-85c7-0e2ceb59d01b" xmlns:ns3="808228cf-35da-472b-9c2d-c46e45eb9632" xmlns:ns4="b8c2d396-506e-405a-8094-5d991a0b5db2" targetNamespace="http://schemas.microsoft.com/office/2006/metadata/properties" ma:root="true" ma:fieldsID="0d55c1c92a0812c6da80c797b75e705b" ns2:_="" ns3:_="" ns4:_="">
    <xsd:import namespace="8efd05e7-3e28-45e2-85c7-0e2ceb59d01b"/>
    <xsd:import namespace="808228cf-35da-472b-9c2d-c46e45eb9632"/>
    <xsd:import namespace="b8c2d396-506e-405a-8094-5d991a0b5d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contr_x00f4_ledesfichier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d05e7-3e28-45e2-85c7-0e2ceb59d0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0f79066-3228-4f10-809b-20d663e726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contr_x00f4_ledesfichiers" ma:index="23" nillable="true" ma:displayName="contrôle des fichiers" ma:description="Comme demandé par Sylvie merci de contrôler si votre fichier est bien classé afin que nous puissions entreprendre le suivi avec vous /et /ou le classement dans le SharePoint archives du CSP&#10;&#10;" ma:format="Dropdown" ma:internalName="contr_x00f4_ledesfichiers">
      <xsd:simpleType>
        <xsd:restriction base="dms:Choice">
          <xsd:enumeration value="terminé à archiver"/>
          <xsd:enumeration value="terminé mais non soldé compta"/>
          <xsd:enumeration value="en cours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228cf-35da-472b-9c2d-c46e45eb96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2d396-506e-405a-8094-5d991a0b5db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fec6d8-cf5d-4d13-91b3-7f4d94283a0e}" ma:internalName="TaxCatchAll" ma:showField="CatchAllData" ma:web="808228cf-35da-472b-9c2d-c46e45eb96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d05e7-3e28-45e2-85c7-0e2ceb59d01b">
      <Terms xmlns="http://schemas.microsoft.com/office/infopath/2007/PartnerControls"/>
    </lcf76f155ced4ddcb4097134ff3c332f>
    <contr_x00f4_ledesfichiers xmlns="8efd05e7-3e28-45e2-85c7-0e2ceb59d01b" xsi:nil="true"/>
    <TaxCatchAll xmlns="b8c2d396-506e-405a-8094-5d991a0b5db2" xsi:nil="true"/>
  </documentManagement>
</p:properties>
</file>

<file path=customXml/itemProps1.xml><?xml version="1.0" encoding="utf-8"?>
<ds:datastoreItem xmlns:ds="http://schemas.openxmlformats.org/officeDocument/2006/customXml" ds:itemID="{D0B7D321-F0D2-475D-9241-FFFA283DB9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fd05e7-3e28-45e2-85c7-0e2ceb59d01b"/>
    <ds:schemaRef ds:uri="808228cf-35da-472b-9c2d-c46e45eb9632"/>
    <ds:schemaRef ds:uri="b8c2d396-506e-405a-8094-5d991a0b5d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10F736-CC46-40D2-9883-DB797D45CD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143222-FF8C-456C-B1C9-633D68530BED}">
  <ds:schemaRefs>
    <ds:schemaRef ds:uri="http://schemas.microsoft.com/office/2006/metadata/properties"/>
    <ds:schemaRef ds:uri="http://schemas.microsoft.com/office/infopath/2007/PartnerControls"/>
    <ds:schemaRef ds:uri="8efd05e7-3e28-45e2-85c7-0e2ceb59d01b"/>
    <ds:schemaRef ds:uri="b8c2d396-506e-405a-8094-5d991a0b5db2"/>
  </ds:schemaRefs>
</ds:datastoreItem>
</file>

<file path=docMetadata/LabelInfo.xml><?xml version="1.0" encoding="utf-8"?>
<clbl:labelList xmlns:clbl="http://schemas.microsoft.com/office/2020/mipLabelMetadata">
  <clbl:label id="{9b802d8b-33fa-40fb-acb7-9ffdbd1919eb}" enabled="0" method="" siteId="{9b802d8b-33fa-40fb-acb7-9ffdbd1919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MATRICE ML35 VIERGE</vt:lpstr>
      <vt:lpstr>MATRICE ML36 VIERGE</vt:lpstr>
      <vt:lpstr>MATRICE ML37 VIERGE</vt:lpstr>
      <vt:lpstr>Attestation Vivinter</vt:lpstr>
      <vt:lpstr>MODOP Attestation VIV</vt:lpstr>
      <vt:lpstr>'Attestation Vivinter'!Zone_d_impression</vt:lpstr>
      <vt:lpstr>'MATRICE ML36 VIERGE'!Zone_d_impression</vt:lpstr>
    </vt:vector>
  </TitlesOfParts>
  <Manager/>
  <Company>Air France KLM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Martin, Lydie (DP CN CP) - AF</dc:creator>
  <cp:keywords/>
  <dc:description/>
  <cp:lastModifiedBy>Romdhane, Natacha (DP CN CP) - AF</cp:lastModifiedBy>
  <cp:revision/>
  <dcterms:created xsi:type="dcterms:W3CDTF">2026-04-03T12:50:43Z</dcterms:created>
  <dcterms:modified xsi:type="dcterms:W3CDTF">2026-07-02T07:49:44Z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0x01010092CC6472B56EE14C83B51036AB1C0615</vt:lpwstr>
  </property>
  <property fmtid="{D5CDD505-2E9C-101B-9397-08002B2CF9AE}" pid="3" name="MediaServiceImageTags">
    <vt:lpwstr/>
  </property>
</Properties>
</file>